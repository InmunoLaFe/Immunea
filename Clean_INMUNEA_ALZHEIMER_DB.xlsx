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a Fe\Proyectos Dafne\Alzheimer\"/>
    </mc:Choice>
  </mc:AlternateContent>
  <xr:revisionPtr revIDLastSave="0" documentId="13_ncr:1_{E14989C9-7C9F-4AAE-B162-57D552FE64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 Alzheim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2" l="1"/>
  <c r="AI3" i="2"/>
  <c r="AU3" i="2" s="1"/>
  <c r="CR3" i="2"/>
  <c r="AW3" i="2" l="1"/>
  <c r="AY3" i="2"/>
  <c r="BA3" i="2"/>
  <c r="BC3" i="2"/>
  <c r="BE3" i="2"/>
  <c r="BG3" i="2"/>
  <c r="BK3" i="2"/>
  <c r="BI3" i="2"/>
  <c r="AK3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3" i="2"/>
  <c r="CT74" i="2"/>
  <c r="CT75" i="2"/>
  <c r="CT76" i="2"/>
  <c r="CT77" i="2"/>
  <c r="CT78" i="2"/>
  <c r="CT79" i="2"/>
  <c r="CT80" i="2"/>
  <c r="CT4" i="2"/>
  <c r="CT5" i="2"/>
  <c r="CT6" i="2"/>
  <c r="CT2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3" i="2"/>
  <c r="CR74" i="2"/>
  <c r="CR75" i="2"/>
  <c r="CR76" i="2"/>
  <c r="CR77" i="2"/>
  <c r="CR78" i="2"/>
  <c r="CR79" i="2"/>
  <c r="CR80" i="2"/>
  <c r="CR2" i="2"/>
  <c r="AI4" i="2"/>
  <c r="AI5" i="2"/>
  <c r="AI6" i="2"/>
  <c r="AI7" i="2"/>
  <c r="AU7" i="2" s="1"/>
  <c r="AI8" i="2"/>
  <c r="BG8" i="2" s="1"/>
  <c r="AI9" i="2"/>
  <c r="AU9" i="2" s="1"/>
  <c r="AI10" i="2"/>
  <c r="AI11" i="2"/>
  <c r="AI12" i="2"/>
  <c r="AI13" i="2"/>
  <c r="AI14" i="2"/>
  <c r="AI15" i="2"/>
  <c r="BG15" i="2" s="1"/>
  <c r="AI16" i="2"/>
  <c r="BG16" i="2" s="1"/>
  <c r="AI17" i="2"/>
  <c r="BI17" i="2" s="1"/>
  <c r="AI18" i="2"/>
  <c r="AI19" i="2"/>
  <c r="AI20" i="2"/>
  <c r="AI21" i="2"/>
  <c r="BG21" i="2" s="1"/>
  <c r="AI22" i="2"/>
  <c r="AI23" i="2"/>
  <c r="BK23" i="2" s="1"/>
  <c r="AI25" i="2"/>
  <c r="BG25" i="2" s="1"/>
  <c r="AI26" i="2"/>
  <c r="BG26" i="2" s="1"/>
  <c r="AI27" i="2"/>
  <c r="AI28" i="2"/>
  <c r="AI29" i="2"/>
  <c r="AI30" i="2"/>
  <c r="AI31" i="2"/>
  <c r="AI32" i="2"/>
  <c r="BI32" i="2" s="1"/>
  <c r="AI33" i="2"/>
  <c r="BG33" i="2" s="1"/>
  <c r="AI34" i="2"/>
  <c r="BK34" i="2" s="1"/>
  <c r="AI35" i="2"/>
  <c r="AI36" i="2"/>
  <c r="AI37" i="2"/>
  <c r="AI38" i="2"/>
  <c r="AI39" i="2"/>
  <c r="BI39" i="2" s="1"/>
  <c r="AI40" i="2"/>
  <c r="BG40" i="2" s="1"/>
  <c r="AI41" i="2"/>
  <c r="BI41" i="2" s="1"/>
  <c r="AI42" i="2"/>
  <c r="AI43" i="2"/>
  <c r="AI44" i="2"/>
  <c r="AI45" i="2"/>
  <c r="AI46" i="2"/>
  <c r="AI47" i="2"/>
  <c r="BG47" i="2" s="1"/>
  <c r="AI48" i="2"/>
  <c r="BG48" i="2" s="1"/>
  <c r="AI49" i="2"/>
  <c r="BI49" i="2" s="1"/>
  <c r="AI50" i="2"/>
  <c r="AI51" i="2"/>
  <c r="AI52" i="2"/>
  <c r="AI53" i="2"/>
  <c r="AI54" i="2"/>
  <c r="AI55" i="2"/>
  <c r="BK55" i="2" s="1"/>
  <c r="AI56" i="2"/>
  <c r="BG56" i="2" s="1"/>
  <c r="AI57" i="2"/>
  <c r="BG57" i="2" s="1"/>
  <c r="AI58" i="2"/>
  <c r="AI59" i="2"/>
  <c r="AI60" i="2"/>
  <c r="AI61" i="2"/>
  <c r="AI62" i="2"/>
  <c r="AI63" i="2"/>
  <c r="AU63" i="2" s="1"/>
  <c r="AI64" i="2"/>
  <c r="BG64" i="2" s="1"/>
  <c r="AI65" i="2"/>
  <c r="BK65" i="2" s="1"/>
  <c r="AI66" i="2"/>
  <c r="AI67" i="2"/>
  <c r="AI68" i="2"/>
  <c r="AI69" i="2"/>
  <c r="AI70" i="2"/>
  <c r="AI71" i="2"/>
  <c r="BI71" i="2" s="1"/>
  <c r="AI73" i="2"/>
  <c r="BG73" i="2" s="1"/>
  <c r="AI74" i="2"/>
  <c r="AI75" i="2"/>
  <c r="AI76" i="2"/>
  <c r="AU76" i="2" s="1"/>
  <c r="AI77" i="2"/>
  <c r="AI78" i="2"/>
  <c r="AI79" i="2"/>
  <c r="BG79" i="2" s="1"/>
  <c r="AI80" i="2"/>
  <c r="BG80" i="2" s="1"/>
  <c r="AI2" i="2"/>
  <c r="AG4" i="2"/>
  <c r="AG6" i="2"/>
  <c r="AG9" i="2"/>
  <c r="AG10" i="2"/>
  <c r="AG12" i="2"/>
  <c r="AG13" i="2"/>
  <c r="AG14" i="2"/>
  <c r="AG15" i="2"/>
  <c r="AG18" i="2"/>
  <c r="AG19" i="2"/>
  <c r="AG21" i="2"/>
  <c r="AG22" i="2"/>
  <c r="AG25" i="2"/>
  <c r="AG27" i="2"/>
  <c r="AG32" i="2"/>
  <c r="AG34" i="2"/>
  <c r="AG39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4" i="2"/>
  <c r="AG55" i="2"/>
  <c r="AG56" i="2"/>
  <c r="AG58" i="2"/>
  <c r="AG60" i="2"/>
  <c r="AG61" i="2"/>
  <c r="AG64" i="2"/>
  <c r="AG65" i="2"/>
  <c r="AG67" i="2"/>
  <c r="AG68" i="2"/>
  <c r="AG69" i="2"/>
  <c r="AG71" i="2"/>
  <c r="AG73" i="2"/>
  <c r="AG74" i="2"/>
  <c r="AG75" i="2"/>
  <c r="AG78" i="2"/>
  <c r="AG80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1" i="2"/>
  <c r="AE22" i="2"/>
  <c r="AE23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7" i="2"/>
  <c r="AE68" i="2"/>
  <c r="AE69" i="2"/>
  <c r="AE70" i="2"/>
  <c r="AE71" i="2"/>
  <c r="AE73" i="2"/>
  <c r="AE74" i="2"/>
  <c r="AE75" i="2"/>
  <c r="AE76" i="2"/>
  <c r="AE77" i="2"/>
  <c r="AE78" i="2"/>
  <c r="AE79" i="2"/>
  <c r="AE80" i="2"/>
  <c r="AE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1" i="2"/>
  <c r="AC22" i="2"/>
  <c r="AC23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7" i="2"/>
  <c r="AC68" i="2"/>
  <c r="AC69" i="2"/>
  <c r="AC70" i="2"/>
  <c r="AC71" i="2"/>
  <c r="AC73" i="2"/>
  <c r="AC74" i="2"/>
  <c r="AC75" i="2"/>
  <c r="AC76" i="2"/>
  <c r="AC77" i="2"/>
  <c r="AC78" i="2"/>
  <c r="AC79" i="2"/>
  <c r="AC80" i="2"/>
  <c r="AC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1" i="2"/>
  <c r="AA22" i="2"/>
  <c r="AA23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7" i="2"/>
  <c r="AA68" i="2"/>
  <c r="AA69" i="2"/>
  <c r="AA70" i="2"/>
  <c r="AA71" i="2"/>
  <c r="AA73" i="2"/>
  <c r="AA74" i="2"/>
  <c r="AA75" i="2"/>
  <c r="AA76" i="2"/>
  <c r="AA77" i="2"/>
  <c r="AA78" i="2"/>
  <c r="AA79" i="2"/>
  <c r="AA80" i="2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1" i="2"/>
  <c r="Y22" i="2"/>
  <c r="Y23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7" i="2"/>
  <c r="Y68" i="2"/>
  <c r="Y69" i="2"/>
  <c r="Y70" i="2"/>
  <c r="Y71" i="2"/>
  <c r="Y73" i="2"/>
  <c r="Y74" i="2"/>
  <c r="Y75" i="2"/>
  <c r="Y76" i="2"/>
  <c r="Y77" i="2"/>
  <c r="Y78" i="2"/>
  <c r="Y79" i="2"/>
  <c r="Y80" i="2"/>
  <c r="Y2" i="2"/>
  <c r="W18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3" i="2"/>
  <c r="W74" i="2"/>
  <c r="W75" i="2"/>
  <c r="W76" i="2"/>
  <c r="W77" i="2"/>
  <c r="W78" i="2"/>
  <c r="W79" i="2"/>
  <c r="W80" i="2"/>
  <c r="W17" i="2"/>
  <c r="W19" i="2"/>
  <c r="W20" i="2"/>
  <c r="W21" i="2"/>
  <c r="W22" i="2"/>
  <c r="W23" i="2"/>
  <c r="W25" i="2"/>
  <c r="W26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2" i="2"/>
  <c r="CI3" i="2" l="1"/>
  <c r="BV3" i="2"/>
  <c r="BN3" i="2"/>
  <c r="AS3" i="2"/>
  <c r="AM3" i="2"/>
  <c r="AQ3" i="2"/>
  <c r="AO3" i="2"/>
  <c r="AK33" i="2"/>
  <c r="AM33" i="2" s="1"/>
  <c r="AK25" i="2"/>
  <c r="AQ25" i="2" s="1"/>
  <c r="AK80" i="2"/>
  <c r="AM80" i="2" s="1"/>
  <c r="AK16" i="2"/>
  <c r="AS16" i="2" s="1"/>
  <c r="AK73" i="2"/>
  <c r="AK8" i="2"/>
  <c r="AO8" i="2" s="1"/>
  <c r="AK64" i="2"/>
  <c r="AM64" i="2" s="1"/>
  <c r="BK2" i="2"/>
  <c r="BG2" i="2"/>
  <c r="BI2" i="2"/>
  <c r="AK56" i="2"/>
  <c r="AS56" i="2" s="1"/>
  <c r="AU41" i="2"/>
  <c r="BA41" i="2" s="1"/>
  <c r="AK48" i="2"/>
  <c r="AU33" i="2"/>
  <c r="BE33" i="2" s="1"/>
  <c r="AK40" i="2"/>
  <c r="AM40" i="2" s="1"/>
  <c r="AU23" i="2"/>
  <c r="BA23" i="2" s="1"/>
  <c r="BK76" i="2"/>
  <c r="BI76" i="2"/>
  <c r="AK76" i="2"/>
  <c r="AO76" i="2" s="1"/>
  <c r="BG76" i="2"/>
  <c r="BK67" i="2"/>
  <c r="BI67" i="2"/>
  <c r="BG67" i="2"/>
  <c r="AK67" i="2"/>
  <c r="BK59" i="2"/>
  <c r="BI59" i="2"/>
  <c r="AK59" i="2"/>
  <c r="AS59" i="2" s="1"/>
  <c r="BG59" i="2"/>
  <c r="BK51" i="2"/>
  <c r="BI51" i="2"/>
  <c r="AK51" i="2"/>
  <c r="AQ51" i="2" s="1"/>
  <c r="BG51" i="2"/>
  <c r="AU51" i="2"/>
  <c r="BK43" i="2"/>
  <c r="BI43" i="2"/>
  <c r="AU43" i="2"/>
  <c r="AK43" i="2"/>
  <c r="AQ43" i="2" s="1"/>
  <c r="BG43" i="2"/>
  <c r="BK36" i="2"/>
  <c r="BI36" i="2"/>
  <c r="BG36" i="2"/>
  <c r="AU36" i="2"/>
  <c r="AK36" i="2"/>
  <c r="AS36" i="2" s="1"/>
  <c r="BK28" i="2"/>
  <c r="BI28" i="2"/>
  <c r="AK28" i="2"/>
  <c r="AM28" i="2" s="1"/>
  <c r="BG28" i="2"/>
  <c r="AU28" i="2"/>
  <c r="BK19" i="2"/>
  <c r="BI19" i="2"/>
  <c r="AK19" i="2"/>
  <c r="AU19" i="2"/>
  <c r="BG19" i="2"/>
  <c r="BK11" i="2"/>
  <c r="BI11" i="2"/>
  <c r="AK11" i="2"/>
  <c r="AO11" i="2" s="1"/>
  <c r="AU11" i="2"/>
  <c r="BG11" i="2"/>
  <c r="AU67" i="2"/>
  <c r="BK20" i="2"/>
  <c r="AK20" i="2"/>
  <c r="AO20" i="2" s="1"/>
  <c r="BI20" i="2"/>
  <c r="AU20" i="2"/>
  <c r="BG20" i="2"/>
  <c r="BE76" i="2"/>
  <c r="AW76" i="2"/>
  <c r="BC76" i="2"/>
  <c r="AY76" i="2"/>
  <c r="BA76" i="2"/>
  <c r="BK75" i="2"/>
  <c r="AK75" i="2"/>
  <c r="AO75" i="2" s="1"/>
  <c r="BI75" i="2"/>
  <c r="BG75" i="2"/>
  <c r="AU75" i="2"/>
  <c r="AK66" i="2"/>
  <c r="BK66" i="2"/>
  <c r="AU66" i="2"/>
  <c r="BI66" i="2"/>
  <c r="BG66" i="2"/>
  <c r="BI58" i="2"/>
  <c r="AK58" i="2"/>
  <c r="AO58" i="2" s="1"/>
  <c r="BG58" i="2"/>
  <c r="BK58" i="2"/>
  <c r="AU58" i="2"/>
  <c r="AK50" i="2"/>
  <c r="AM50" i="2" s="1"/>
  <c r="BI50" i="2"/>
  <c r="BG50" i="2"/>
  <c r="BK50" i="2"/>
  <c r="BK42" i="2"/>
  <c r="AK42" i="2"/>
  <c r="AM42" i="2" s="1"/>
  <c r="BI42" i="2"/>
  <c r="BG42" i="2"/>
  <c r="AU42" i="2"/>
  <c r="AU35" i="2"/>
  <c r="AK35" i="2"/>
  <c r="AO35" i="2" s="1"/>
  <c r="BK35" i="2"/>
  <c r="BI35" i="2"/>
  <c r="BG35" i="2"/>
  <c r="BI27" i="2"/>
  <c r="AK27" i="2"/>
  <c r="AO27" i="2" s="1"/>
  <c r="BG27" i="2"/>
  <c r="AU27" i="2"/>
  <c r="BK27" i="2"/>
  <c r="BK18" i="2"/>
  <c r="AK18" i="2"/>
  <c r="AM18" i="2" s="1"/>
  <c r="BI18" i="2"/>
  <c r="AU18" i="2"/>
  <c r="BG18" i="2"/>
  <c r="BK10" i="2"/>
  <c r="AK10" i="2"/>
  <c r="AQ10" i="2" s="1"/>
  <c r="AU10" i="2"/>
  <c r="BI10" i="2"/>
  <c r="BG10" i="2"/>
  <c r="AU59" i="2"/>
  <c r="BK77" i="2"/>
  <c r="BI77" i="2"/>
  <c r="BG77" i="2"/>
  <c r="AU77" i="2"/>
  <c r="AK77" i="2"/>
  <c r="AQ77" i="2" s="1"/>
  <c r="BK45" i="2"/>
  <c r="BI45" i="2"/>
  <c r="AU45" i="2"/>
  <c r="BG45" i="2"/>
  <c r="AK45" i="2"/>
  <c r="AM45" i="2" s="1"/>
  <c r="BG68" i="2"/>
  <c r="AK68" i="2"/>
  <c r="AQ68" i="2" s="1"/>
  <c r="BK68" i="2"/>
  <c r="BI68" i="2"/>
  <c r="AU68" i="2"/>
  <c r="BK29" i="2"/>
  <c r="BI29" i="2"/>
  <c r="AK29" i="2"/>
  <c r="AS29" i="2" s="1"/>
  <c r="BG29" i="2"/>
  <c r="AU29" i="2"/>
  <c r="AU2" i="2"/>
  <c r="AK2" i="2"/>
  <c r="BI74" i="2"/>
  <c r="BG74" i="2"/>
  <c r="AU74" i="2"/>
  <c r="BK74" i="2"/>
  <c r="AK74" i="2"/>
  <c r="AS74" i="2" s="1"/>
  <c r="AY9" i="2"/>
  <c r="BE9" i="2"/>
  <c r="BC9" i="2"/>
  <c r="BA9" i="2"/>
  <c r="AW9" i="2"/>
  <c r="AU50" i="2"/>
  <c r="BK53" i="2"/>
  <c r="BI53" i="2"/>
  <c r="AU53" i="2"/>
  <c r="AK53" i="2"/>
  <c r="AS53" i="2" s="1"/>
  <c r="BG53" i="2"/>
  <c r="AU52" i="2"/>
  <c r="AK52" i="2"/>
  <c r="AQ52" i="2" s="1"/>
  <c r="BI52" i="2"/>
  <c r="BG52" i="2"/>
  <c r="BK52" i="2"/>
  <c r="BK12" i="2"/>
  <c r="AK12" i="2"/>
  <c r="AS12" i="2" s="1"/>
  <c r="BI12" i="2"/>
  <c r="AU12" i="2"/>
  <c r="BG12" i="2"/>
  <c r="AY41" i="2"/>
  <c r="BE41" i="2"/>
  <c r="BK61" i="2"/>
  <c r="BI60" i="2"/>
  <c r="AK60" i="2"/>
  <c r="AQ60" i="2" s="1"/>
  <c r="BG60" i="2"/>
  <c r="BK60" i="2"/>
  <c r="AU60" i="2"/>
  <c r="BG37" i="2"/>
  <c r="AU37" i="2"/>
  <c r="AK37" i="2"/>
  <c r="AS37" i="2" s="1"/>
  <c r="BK37" i="2"/>
  <c r="BI37" i="2"/>
  <c r="BK4" i="2"/>
  <c r="BG4" i="2"/>
  <c r="AK4" i="2"/>
  <c r="AS4" i="2" s="1"/>
  <c r="AU4" i="2"/>
  <c r="BI4" i="2"/>
  <c r="BA63" i="2"/>
  <c r="BC63" i="2"/>
  <c r="AY63" i="2"/>
  <c r="BE63" i="2"/>
  <c r="AW63" i="2"/>
  <c r="BA7" i="2"/>
  <c r="AY7" i="2"/>
  <c r="AW7" i="2"/>
  <c r="BE7" i="2"/>
  <c r="BC7" i="2"/>
  <c r="BK69" i="2"/>
  <c r="BI69" i="2"/>
  <c r="AU69" i="2"/>
  <c r="BG69" i="2"/>
  <c r="AK69" i="2"/>
  <c r="AQ69" i="2" s="1"/>
  <c r="BK44" i="2"/>
  <c r="AU44" i="2"/>
  <c r="AK44" i="2"/>
  <c r="AO44" i="2" s="1"/>
  <c r="BI44" i="2"/>
  <c r="BG44" i="2"/>
  <c r="BG78" i="2"/>
  <c r="AU78" i="2"/>
  <c r="BK78" i="2"/>
  <c r="AK78" i="2"/>
  <c r="BI78" i="2"/>
  <c r="BG70" i="2"/>
  <c r="BI70" i="2"/>
  <c r="AU70" i="2"/>
  <c r="BK70" i="2"/>
  <c r="AK70" i="2"/>
  <c r="AO70" i="2" s="1"/>
  <c r="BG62" i="2"/>
  <c r="AU62" i="2"/>
  <c r="BI62" i="2"/>
  <c r="AK62" i="2"/>
  <c r="AO62" i="2" s="1"/>
  <c r="BK62" i="2"/>
  <c r="BG54" i="2"/>
  <c r="BK54" i="2"/>
  <c r="AU54" i="2"/>
  <c r="BI54" i="2"/>
  <c r="AK54" i="2"/>
  <c r="BG46" i="2"/>
  <c r="BK46" i="2"/>
  <c r="AU46" i="2"/>
  <c r="AK46" i="2"/>
  <c r="AQ46" i="2" s="1"/>
  <c r="BI46" i="2"/>
  <c r="BG31" i="2"/>
  <c r="BI31" i="2"/>
  <c r="AU31" i="2"/>
  <c r="AK31" i="2"/>
  <c r="AM31" i="2" s="1"/>
  <c r="BK31" i="2"/>
  <c r="BG22" i="2"/>
  <c r="BK22" i="2"/>
  <c r="BI22" i="2"/>
  <c r="AK22" i="2"/>
  <c r="AQ22" i="2" s="1"/>
  <c r="AU22" i="2"/>
  <c r="BG14" i="2"/>
  <c r="BK14" i="2"/>
  <c r="AK14" i="2"/>
  <c r="AQ14" i="2" s="1"/>
  <c r="BI14" i="2"/>
  <c r="AU14" i="2"/>
  <c r="BG6" i="2"/>
  <c r="BK6" i="2"/>
  <c r="BI6" i="2"/>
  <c r="AK6" i="2"/>
  <c r="AS6" i="2" s="1"/>
  <c r="AU6" i="2"/>
  <c r="AK65" i="2"/>
  <c r="AQ65" i="2" s="1"/>
  <c r="AK57" i="2"/>
  <c r="AO57" i="2" s="1"/>
  <c r="AK49" i="2"/>
  <c r="AS49" i="2" s="1"/>
  <c r="AK41" i="2"/>
  <c r="AS41" i="2" s="1"/>
  <c r="AK34" i="2"/>
  <c r="AO34" i="2" s="1"/>
  <c r="AK26" i="2"/>
  <c r="AQ26" i="2" s="1"/>
  <c r="AK17" i="2"/>
  <c r="AQ17" i="2" s="1"/>
  <c r="AK9" i="2"/>
  <c r="AO9" i="2" s="1"/>
  <c r="AU34" i="2"/>
  <c r="AU25" i="2"/>
  <c r="AU15" i="2"/>
  <c r="BG55" i="2"/>
  <c r="BG23" i="2"/>
  <c r="BI79" i="2"/>
  <c r="BI57" i="2"/>
  <c r="BI47" i="2"/>
  <c r="BI26" i="2"/>
  <c r="BI15" i="2"/>
  <c r="BK63" i="2"/>
  <c r="BK41" i="2"/>
  <c r="BK32" i="2"/>
  <c r="BK17" i="2"/>
  <c r="BG65" i="2"/>
  <c r="BG34" i="2"/>
  <c r="BI56" i="2"/>
  <c r="BI25" i="2"/>
  <c r="BK73" i="2"/>
  <c r="BK40" i="2"/>
  <c r="BK16" i="2"/>
  <c r="BK38" i="2"/>
  <c r="BI38" i="2"/>
  <c r="AU38" i="2"/>
  <c r="BK30" i="2"/>
  <c r="BI30" i="2"/>
  <c r="AU30" i="2"/>
  <c r="BK21" i="2"/>
  <c r="BI21" i="2"/>
  <c r="AU21" i="2"/>
  <c r="BK13" i="2"/>
  <c r="BI13" i="2"/>
  <c r="AU13" i="2"/>
  <c r="BK5" i="2"/>
  <c r="BI5" i="2"/>
  <c r="AU5" i="2"/>
  <c r="AK79" i="2"/>
  <c r="AQ79" i="2" s="1"/>
  <c r="AK71" i="2"/>
  <c r="AQ71" i="2" s="1"/>
  <c r="AK63" i="2"/>
  <c r="AQ63" i="2" s="1"/>
  <c r="AK55" i="2"/>
  <c r="AS55" i="2" s="1"/>
  <c r="AK47" i="2"/>
  <c r="AK39" i="2"/>
  <c r="AM39" i="2" s="1"/>
  <c r="AK32" i="2"/>
  <c r="AS32" i="2" s="1"/>
  <c r="AK23" i="2"/>
  <c r="AS23" i="2" s="1"/>
  <c r="AK15" i="2"/>
  <c r="AS15" i="2" s="1"/>
  <c r="AK7" i="2"/>
  <c r="AS7" i="2" s="1"/>
  <c r="AU49" i="2"/>
  <c r="AU40" i="2"/>
  <c r="AU32" i="2"/>
  <c r="BG63" i="2"/>
  <c r="BG32" i="2"/>
  <c r="BI65" i="2"/>
  <c r="BI55" i="2"/>
  <c r="BI34" i="2"/>
  <c r="BI23" i="2"/>
  <c r="BK71" i="2"/>
  <c r="BK49" i="2"/>
  <c r="BK39" i="2"/>
  <c r="BK15" i="2"/>
  <c r="AU65" i="2"/>
  <c r="AU57" i="2"/>
  <c r="AU48" i="2"/>
  <c r="AU39" i="2"/>
  <c r="BG41" i="2"/>
  <c r="BG30" i="2"/>
  <c r="BG9" i="2"/>
  <c r="BI64" i="2"/>
  <c r="BI33" i="2"/>
  <c r="BK80" i="2"/>
  <c r="BK48" i="2"/>
  <c r="BK26" i="2"/>
  <c r="AK38" i="2"/>
  <c r="AM38" i="2" s="1"/>
  <c r="AK30" i="2"/>
  <c r="AO30" i="2" s="1"/>
  <c r="AK21" i="2"/>
  <c r="AQ21" i="2" s="1"/>
  <c r="AK13" i="2"/>
  <c r="AS13" i="2" s="1"/>
  <c r="AK5" i="2"/>
  <c r="AS5" i="2" s="1"/>
  <c r="AU80" i="2"/>
  <c r="AU73" i="2"/>
  <c r="AU64" i="2"/>
  <c r="AU56" i="2"/>
  <c r="AU47" i="2"/>
  <c r="BG71" i="2"/>
  <c r="BG39" i="2"/>
  <c r="BG7" i="2"/>
  <c r="BI63" i="2"/>
  <c r="BI9" i="2"/>
  <c r="BK79" i="2"/>
  <c r="BK57" i="2"/>
  <c r="BK47" i="2"/>
  <c r="BK25" i="2"/>
  <c r="BK9" i="2"/>
  <c r="AU79" i="2"/>
  <c r="AU71" i="2"/>
  <c r="AU55" i="2"/>
  <c r="BG49" i="2"/>
  <c r="BG38" i="2"/>
  <c r="BG17" i="2"/>
  <c r="BG5" i="2"/>
  <c r="BI73" i="2"/>
  <c r="BI40" i="2"/>
  <c r="BI8" i="2"/>
  <c r="BK56" i="2"/>
  <c r="BK8" i="2"/>
  <c r="AU17" i="2"/>
  <c r="AU8" i="2"/>
  <c r="BI7" i="2"/>
  <c r="BK7" i="2"/>
  <c r="AU26" i="2"/>
  <c r="AU16" i="2"/>
  <c r="BG13" i="2"/>
  <c r="BI80" i="2"/>
  <c r="BI48" i="2"/>
  <c r="BI16" i="2"/>
  <c r="BK64" i="2"/>
  <c r="BK33" i="2"/>
  <c r="AS65" i="2"/>
  <c r="AQ56" i="2"/>
  <c r="AQ19" i="2"/>
  <c r="AM16" i="2"/>
  <c r="AQ45" i="2"/>
  <c r="AS76" i="2"/>
  <c r="AQ16" i="2"/>
  <c r="AQ27" i="2"/>
  <c r="AS80" i="2"/>
  <c r="AO36" i="2"/>
  <c r="AQ59" i="2"/>
  <c r="AQ36" i="2"/>
  <c r="AS19" i="2"/>
  <c r="AM19" i="2"/>
  <c r="AO59" i="2"/>
  <c r="AM76" i="2"/>
  <c r="AO73" i="2"/>
  <c r="AO69" i="2"/>
  <c r="AO80" i="2"/>
  <c r="AO56" i="2"/>
  <c r="AM63" i="2" l="1"/>
  <c r="AQ12" i="2"/>
  <c r="AQ8" i="2"/>
  <c r="AQ29" i="2"/>
  <c r="AM29" i="2"/>
  <c r="AS40" i="2"/>
  <c r="BC41" i="2"/>
  <c r="AM15" i="2"/>
  <c r="AQ55" i="2"/>
  <c r="AS26" i="2"/>
  <c r="AW41" i="2"/>
  <c r="AS77" i="2"/>
  <c r="AQ70" i="2"/>
  <c r="AS69" i="2"/>
  <c r="AS68" i="2"/>
  <c r="AQ58" i="2"/>
  <c r="AM55" i="2"/>
  <c r="AM52" i="2"/>
  <c r="AS52" i="2"/>
  <c r="AS46" i="2"/>
  <c r="AO46" i="2"/>
  <c r="AO45" i="2"/>
  <c r="AS45" i="2"/>
  <c r="AQ44" i="2"/>
  <c r="AQ40" i="2"/>
  <c r="AO37" i="2"/>
  <c r="AO33" i="2"/>
  <c r="AS27" i="2"/>
  <c r="AO12" i="2"/>
  <c r="AQ28" i="2"/>
  <c r="AS28" i="2"/>
  <c r="AO10" i="2"/>
  <c r="AM6" i="2"/>
  <c r="AM4" i="2"/>
  <c r="AM7" i="2"/>
  <c r="AS10" i="2"/>
  <c r="AS18" i="2"/>
  <c r="AM17" i="2"/>
  <c r="AS14" i="2"/>
  <c r="AS9" i="2"/>
  <c r="AS44" i="2"/>
  <c r="AQ32" i="2"/>
  <c r="AM5" i="2"/>
  <c r="AY33" i="2"/>
  <c r="BC33" i="2"/>
  <c r="BE23" i="2"/>
  <c r="CG3" i="2"/>
  <c r="CE3" i="2"/>
  <c r="CC3" i="2"/>
  <c r="CA3" i="2"/>
  <c r="BY3" i="2"/>
  <c r="CN3" i="2"/>
  <c r="CP3" i="2"/>
  <c r="CL3" i="2"/>
  <c r="AM79" i="2"/>
  <c r="AS31" i="2"/>
  <c r="AO25" i="2"/>
  <c r="AS79" i="2"/>
  <c r="AS50" i="2"/>
  <c r="AQ33" i="2"/>
  <c r="AS25" i="2"/>
  <c r="BV33" i="2"/>
  <c r="CG33" i="2" s="1"/>
  <c r="BN33" i="2"/>
  <c r="AS42" i="2"/>
  <c r="AQ37" i="2"/>
  <c r="AM14" i="2"/>
  <c r="AQ18" i="2"/>
  <c r="AS33" i="2"/>
  <c r="AS39" i="2"/>
  <c r="AS30" i="2"/>
  <c r="CI33" i="2"/>
  <c r="CP33" i="2" s="1"/>
  <c r="AS58" i="2"/>
  <c r="AQ42" i="2"/>
  <c r="AM65" i="2"/>
  <c r="AQ30" i="2"/>
  <c r="AO22" i="2"/>
  <c r="AM77" i="2"/>
  <c r="AM13" i="2"/>
  <c r="AS35" i="2"/>
  <c r="AO41" i="2"/>
  <c r="AQ41" i="2"/>
  <c r="AS62" i="2"/>
  <c r="AQ35" i="2"/>
  <c r="AW33" i="2"/>
  <c r="AO68" i="2"/>
  <c r="AO60" i="2"/>
  <c r="AM51" i="2"/>
  <c r="AO53" i="2"/>
  <c r="AQ13" i="2"/>
  <c r="AS60" i="2"/>
  <c r="AQ53" i="2"/>
  <c r="AS75" i="2"/>
  <c r="AM75" i="2"/>
  <c r="AQ9" i="2"/>
  <c r="AM49" i="2"/>
  <c r="AQ76" i="2"/>
  <c r="AW23" i="2"/>
  <c r="BA33" i="2"/>
  <c r="AO23" i="2"/>
  <c r="BC23" i="2"/>
  <c r="AQ23" i="2"/>
  <c r="AS34" i="2"/>
  <c r="AS22" i="2"/>
  <c r="AQ62" i="2"/>
  <c r="AQ64" i="2"/>
  <c r="AS51" i="2"/>
  <c r="AS64" i="2"/>
  <c r="AQ4" i="2"/>
  <c r="AQ34" i="2"/>
  <c r="AM32" i="2"/>
  <c r="AS8" i="2"/>
  <c r="AQ49" i="2"/>
  <c r="AS70" i="2"/>
  <c r="AQ39" i="2"/>
  <c r="AY23" i="2"/>
  <c r="AQ80" i="2"/>
  <c r="AO50" i="2"/>
  <c r="CI50" i="2"/>
  <c r="BV50" i="2"/>
  <c r="BN50" i="2"/>
  <c r="AM73" i="2"/>
  <c r="CI73" i="2"/>
  <c r="BN73" i="2"/>
  <c r="BV73" i="2"/>
  <c r="AO55" i="2"/>
  <c r="CI55" i="2"/>
  <c r="BN55" i="2"/>
  <c r="BV55" i="2"/>
  <c r="AO65" i="2"/>
  <c r="CI65" i="2"/>
  <c r="BN65" i="2"/>
  <c r="BV65" i="2"/>
  <c r="AO14" i="2"/>
  <c r="BV14" i="2"/>
  <c r="CI14" i="2"/>
  <c r="BN14" i="2"/>
  <c r="AM69" i="2"/>
  <c r="CI69" i="2"/>
  <c r="BN69" i="2"/>
  <c r="BV69" i="2"/>
  <c r="AM12" i="2"/>
  <c r="CI12" i="2"/>
  <c r="BN12" i="2"/>
  <c r="BV12" i="2"/>
  <c r="AO29" i="2"/>
  <c r="CI29" i="2"/>
  <c r="BN29" i="2"/>
  <c r="BV29" i="2"/>
  <c r="AM27" i="2"/>
  <c r="CI27" i="2"/>
  <c r="BN27" i="2"/>
  <c r="BV27" i="2"/>
  <c r="AO16" i="2"/>
  <c r="CI16" i="2"/>
  <c r="BN16" i="2"/>
  <c r="BV16" i="2"/>
  <c r="AO54" i="2"/>
  <c r="CI54" i="2"/>
  <c r="BN54" i="2"/>
  <c r="BV54" i="2"/>
  <c r="AM48" i="2"/>
  <c r="CI48" i="2"/>
  <c r="BN48" i="2"/>
  <c r="BV48" i="2"/>
  <c r="AQ50" i="2"/>
  <c r="AO63" i="2"/>
  <c r="CI63" i="2"/>
  <c r="BN63" i="2"/>
  <c r="BV63" i="2"/>
  <c r="AM9" i="2"/>
  <c r="CI9" i="2"/>
  <c r="BN9" i="2"/>
  <c r="BV9" i="2"/>
  <c r="AO31" i="2"/>
  <c r="BV31" i="2"/>
  <c r="CI31" i="2"/>
  <c r="BN31" i="2"/>
  <c r="AM70" i="2"/>
  <c r="CI70" i="2"/>
  <c r="BN70" i="2"/>
  <c r="BV70" i="2"/>
  <c r="AM60" i="2"/>
  <c r="CI60" i="2"/>
  <c r="BN60" i="2"/>
  <c r="BV60" i="2"/>
  <c r="AO19" i="2"/>
  <c r="CI19" i="2"/>
  <c r="BN19" i="2"/>
  <c r="BV19" i="2"/>
  <c r="AM36" i="2"/>
  <c r="CI36" i="2"/>
  <c r="BN36" i="2"/>
  <c r="BV36" i="2"/>
  <c r="AM59" i="2"/>
  <c r="CI59" i="2"/>
  <c r="BN59" i="2"/>
  <c r="BV59" i="2"/>
  <c r="AM56" i="2"/>
  <c r="CI56" i="2"/>
  <c r="BN56" i="2"/>
  <c r="BV56" i="2"/>
  <c r="AM20" i="2"/>
  <c r="CI20" i="2"/>
  <c r="BV20" i="2"/>
  <c r="BN20" i="2"/>
  <c r="AO7" i="2"/>
  <c r="CI7" i="2"/>
  <c r="BV7" i="2"/>
  <c r="BN7" i="2"/>
  <c r="AM71" i="2"/>
  <c r="BN71" i="2"/>
  <c r="CI17" i="2"/>
  <c r="BN17" i="2"/>
  <c r="BV17" i="2"/>
  <c r="AO6" i="2"/>
  <c r="BV6" i="2"/>
  <c r="CI6" i="2"/>
  <c r="BN6" i="2"/>
  <c r="AO42" i="2"/>
  <c r="CI42" i="2"/>
  <c r="BN42" i="2"/>
  <c r="BV42" i="2"/>
  <c r="AM25" i="2"/>
  <c r="CI25" i="2"/>
  <c r="BN25" i="2"/>
  <c r="BV25" i="2"/>
  <c r="AM57" i="2"/>
  <c r="CI57" i="2"/>
  <c r="BN57" i="2"/>
  <c r="BV57" i="2"/>
  <c r="AO78" i="2"/>
  <c r="CI78" i="2"/>
  <c r="BN78" i="2"/>
  <c r="BV78" i="2"/>
  <c r="AS20" i="2"/>
  <c r="AQ78" i="2"/>
  <c r="AS54" i="2"/>
  <c r="AO5" i="2"/>
  <c r="BV5" i="2"/>
  <c r="CI5" i="2"/>
  <c r="BN5" i="2"/>
  <c r="AO15" i="2"/>
  <c r="CI15" i="2"/>
  <c r="BV15" i="2"/>
  <c r="BN15" i="2"/>
  <c r="AO79" i="2"/>
  <c r="CI79" i="2"/>
  <c r="BN79" i="2"/>
  <c r="BV79" i="2"/>
  <c r="AM26" i="2"/>
  <c r="CI26" i="2"/>
  <c r="BN26" i="2"/>
  <c r="BV26" i="2"/>
  <c r="AM46" i="2"/>
  <c r="CI46" i="2"/>
  <c r="BN46" i="2"/>
  <c r="BV46" i="2"/>
  <c r="AM37" i="2"/>
  <c r="CI37" i="2"/>
  <c r="BN37" i="2"/>
  <c r="BV37" i="2"/>
  <c r="AO18" i="2"/>
  <c r="CI18" i="2"/>
  <c r="BN18" i="2"/>
  <c r="BV18" i="2"/>
  <c r="AM58" i="2"/>
  <c r="CI58" i="2"/>
  <c r="BV58" i="2"/>
  <c r="BN58" i="2"/>
  <c r="AO43" i="2"/>
  <c r="CI43" i="2"/>
  <c r="BN43" i="2"/>
  <c r="BV43" i="2"/>
  <c r="AO13" i="2"/>
  <c r="BV13" i="2"/>
  <c r="CI13" i="2"/>
  <c r="BN13" i="2"/>
  <c r="AM23" i="2"/>
  <c r="CI23" i="2"/>
  <c r="BN23" i="2"/>
  <c r="BV23" i="2"/>
  <c r="AM34" i="2"/>
  <c r="CI34" i="2"/>
  <c r="BN34" i="2"/>
  <c r="BV34" i="2"/>
  <c r="AM22" i="2"/>
  <c r="BV22" i="2"/>
  <c r="CI22" i="2"/>
  <c r="BN22" i="2"/>
  <c r="CI2" i="2"/>
  <c r="BV2" i="2"/>
  <c r="BN2" i="2"/>
  <c r="AM11" i="2"/>
  <c r="CI11" i="2"/>
  <c r="BV11" i="2"/>
  <c r="BN11" i="2"/>
  <c r="AO67" i="2"/>
  <c r="CI67" i="2"/>
  <c r="BV67" i="2"/>
  <c r="BN67" i="2"/>
  <c r="AO48" i="2"/>
  <c r="AM21" i="2"/>
  <c r="BV21" i="2"/>
  <c r="CI21" i="2"/>
  <c r="BN21" i="2"/>
  <c r="AO32" i="2"/>
  <c r="CI32" i="2"/>
  <c r="BV32" i="2"/>
  <c r="BN32" i="2"/>
  <c r="AM41" i="2"/>
  <c r="CI41" i="2"/>
  <c r="BV41" i="2"/>
  <c r="BN41" i="2"/>
  <c r="AM62" i="2"/>
  <c r="CI62" i="2"/>
  <c r="BN62" i="2"/>
  <c r="BV62" i="2"/>
  <c r="AM44" i="2"/>
  <c r="CI44" i="2"/>
  <c r="BV44" i="2"/>
  <c r="BN44" i="2"/>
  <c r="AO52" i="2"/>
  <c r="CI52" i="2"/>
  <c r="BN52" i="2"/>
  <c r="BV52" i="2"/>
  <c r="AM53" i="2"/>
  <c r="CI53" i="2"/>
  <c r="BV53" i="2"/>
  <c r="BN53" i="2"/>
  <c r="AO77" i="2"/>
  <c r="CI77" i="2"/>
  <c r="BV77" i="2"/>
  <c r="BN77" i="2"/>
  <c r="AM35" i="2"/>
  <c r="CI35" i="2"/>
  <c r="BV35" i="2"/>
  <c r="BN35" i="2"/>
  <c r="AQ75" i="2"/>
  <c r="CI75" i="2"/>
  <c r="BN75" i="2"/>
  <c r="BV75" i="2"/>
  <c r="AO51" i="2"/>
  <c r="CI51" i="2"/>
  <c r="BN51" i="2"/>
  <c r="BV51" i="2"/>
  <c r="AO40" i="2"/>
  <c r="BN40" i="2"/>
  <c r="BV40" i="2"/>
  <c r="CI40" i="2"/>
  <c r="AO64" i="2"/>
  <c r="CI64" i="2"/>
  <c r="BN64" i="2"/>
  <c r="BV64" i="2"/>
  <c r="AM47" i="2"/>
  <c r="CI47" i="2"/>
  <c r="BN47" i="2"/>
  <c r="BV47" i="2"/>
  <c r="AQ74" i="2"/>
  <c r="CI74" i="2"/>
  <c r="BN74" i="2"/>
  <c r="BV74" i="2"/>
  <c r="AS43" i="2"/>
  <c r="AQ48" i="2"/>
  <c r="AS48" i="2"/>
  <c r="AQ20" i="2"/>
  <c r="AO21" i="2"/>
  <c r="AM43" i="2"/>
  <c r="AQ73" i="2"/>
  <c r="AS73" i="2"/>
  <c r="AO71" i="2"/>
  <c r="AQ31" i="2"/>
  <c r="AQ6" i="2"/>
  <c r="AM30" i="2"/>
  <c r="BV30" i="2"/>
  <c r="CI30" i="2"/>
  <c r="BN30" i="2"/>
  <c r="AO39" i="2"/>
  <c r="BV39" i="2"/>
  <c r="CI39" i="2"/>
  <c r="BN39" i="2"/>
  <c r="AO49" i="2"/>
  <c r="BN49" i="2"/>
  <c r="CI49" i="2"/>
  <c r="BV49" i="2"/>
  <c r="AO4" i="2"/>
  <c r="CI4" i="2"/>
  <c r="BV4" i="2"/>
  <c r="BN4" i="2"/>
  <c r="AM68" i="2"/>
  <c r="CI68" i="2"/>
  <c r="BV68" i="2"/>
  <c r="BN68" i="2"/>
  <c r="AM10" i="2"/>
  <c r="CI10" i="2"/>
  <c r="BV10" i="2"/>
  <c r="BN10" i="2"/>
  <c r="AO28" i="2"/>
  <c r="CI28" i="2"/>
  <c r="BN28" i="2"/>
  <c r="BV28" i="2"/>
  <c r="AM8" i="2"/>
  <c r="CI8" i="2"/>
  <c r="BN8" i="2"/>
  <c r="BV8" i="2"/>
  <c r="AY2" i="2"/>
  <c r="BC2" i="2"/>
  <c r="BE2" i="2"/>
  <c r="BA2" i="2"/>
  <c r="AW2" i="2"/>
  <c r="AM67" i="2"/>
  <c r="AQ11" i="2"/>
  <c r="AQ67" i="2"/>
  <c r="AY16" i="2"/>
  <c r="BA16" i="2"/>
  <c r="BE16" i="2"/>
  <c r="AW16" i="2"/>
  <c r="BC16" i="2"/>
  <c r="BC64" i="2"/>
  <c r="AY64" i="2"/>
  <c r="BE64" i="2"/>
  <c r="BA64" i="2"/>
  <c r="AW64" i="2"/>
  <c r="BA39" i="2"/>
  <c r="AW39" i="2"/>
  <c r="BC39" i="2"/>
  <c r="AY39" i="2"/>
  <c r="BE39" i="2"/>
  <c r="BE40" i="2"/>
  <c r="BA40" i="2"/>
  <c r="AW40" i="2"/>
  <c r="BC40" i="2"/>
  <c r="AY40" i="2"/>
  <c r="BC38" i="2"/>
  <c r="AY38" i="2"/>
  <c r="BE38" i="2"/>
  <c r="BA38" i="2"/>
  <c r="AW38" i="2"/>
  <c r="AY34" i="2"/>
  <c r="BE34" i="2"/>
  <c r="BA34" i="2"/>
  <c r="AW34" i="2"/>
  <c r="BC34" i="2"/>
  <c r="BC10" i="2"/>
  <c r="AY10" i="2"/>
  <c r="BA10" i="2"/>
  <c r="BE10" i="2"/>
  <c r="AW10" i="2"/>
  <c r="BC20" i="2"/>
  <c r="AY20" i="2"/>
  <c r="BE20" i="2"/>
  <c r="BA20" i="2"/>
  <c r="AW20" i="2"/>
  <c r="AY62" i="2"/>
  <c r="BE62" i="2"/>
  <c r="BA62" i="2"/>
  <c r="AW62" i="2"/>
  <c r="BC62" i="2"/>
  <c r="AM54" i="2"/>
  <c r="AS57" i="2"/>
  <c r="AM74" i="2"/>
  <c r="AY26" i="2"/>
  <c r="BE26" i="2"/>
  <c r="BA26" i="2"/>
  <c r="AW26" i="2"/>
  <c r="BC26" i="2"/>
  <c r="BA55" i="2"/>
  <c r="BC55" i="2"/>
  <c r="AY55" i="2"/>
  <c r="BE55" i="2"/>
  <c r="AW55" i="2"/>
  <c r="BC73" i="2"/>
  <c r="AY73" i="2"/>
  <c r="BE73" i="2"/>
  <c r="BA73" i="2"/>
  <c r="AW73" i="2"/>
  <c r="AW48" i="2"/>
  <c r="BC48" i="2"/>
  <c r="AY48" i="2"/>
  <c r="BE48" i="2"/>
  <c r="BA48" i="2"/>
  <c r="AY49" i="2"/>
  <c r="BE49" i="2"/>
  <c r="BA49" i="2"/>
  <c r="AW49" i="2"/>
  <c r="BC49" i="2"/>
  <c r="BA6" i="2"/>
  <c r="AW6" i="2"/>
  <c r="BE6" i="2"/>
  <c r="BC6" i="2"/>
  <c r="AY6" i="2"/>
  <c r="BC54" i="2"/>
  <c r="AY54" i="2"/>
  <c r="BE54" i="2"/>
  <c r="BA54" i="2"/>
  <c r="AW54" i="2"/>
  <c r="BE78" i="2"/>
  <c r="BA78" i="2"/>
  <c r="AW78" i="2"/>
  <c r="BC78" i="2"/>
  <c r="AY78" i="2"/>
  <c r="BE50" i="2"/>
  <c r="BA50" i="2"/>
  <c r="AW50" i="2"/>
  <c r="BC50" i="2"/>
  <c r="AY50" i="2"/>
  <c r="AY74" i="2"/>
  <c r="BC74" i="2"/>
  <c r="BE74" i="2"/>
  <c r="BA74" i="2"/>
  <c r="AW74" i="2"/>
  <c r="BC29" i="2"/>
  <c r="AY29" i="2"/>
  <c r="BE29" i="2"/>
  <c r="BA29" i="2"/>
  <c r="AW29" i="2"/>
  <c r="BC77" i="2"/>
  <c r="BE77" i="2"/>
  <c r="BA77" i="2"/>
  <c r="AW77" i="2"/>
  <c r="AY77" i="2"/>
  <c r="BC27" i="2"/>
  <c r="AY27" i="2"/>
  <c r="BE27" i="2"/>
  <c r="BA27" i="2"/>
  <c r="AW27" i="2"/>
  <c r="BE35" i="2"/>
  <c r="BA35" i="2"/>
  <c r="AW35" i="2"/>
  <c r="BC35" i="2"/>
  <c r="AY35" i="2"/>
  <c r="AY80" i="2"/>
  <c r="BE80" i="2"/>
  <c r="BA80" i="2"/>
  <c r="AW80" i="2"/>
  <c r="BC80" i="2"/>
  <c r="AY57" i="2"/>
  <c r="AW57" i="2"/>
  <c r="BC57" i="2"/>
  <c r="BE57" i="2"/>
  <c r="BA57" i="2"/>
  <c r="BC21" i="2"/>
  <c r="BA21" i="2"/>
  <c r="AW21" i="2"/>
  <c r="AY21" i="2"/>
  <c r="BE21" i="2"/>
  <c r="AO17" i="2"/>
  <c r="AS17" i="2"/>
  <c r="BA31" i="2"/>
  <c r="AW31" i="2"/>
  <c r="BC31" i="2"/>
  <c r="AY31" i="2"/>
  <c r="BE31" i="2"/>
  <c r="BC69" i="2"/>
  <c r="BE69" i="2"/>
  <c r="BA69" i="2"/>
  <c r="AW69" i="2"/>
  <c r="AY69" i="2"/>
  <c r="BE42" i="2"/>
  <c r="BA42" i="2"/>
  <c r="AW42" i="2"/>
  <c r="BC42" i="2"/>
  <c r="AY42" i="2"/>
  <c r="AQ54" i="2"/>
  <c r="BA79" i="2"/>
  <c r="BE79" i="2"/>
  <c r="AW79" i="2"/>
  <c r="BC79" i="2"/>
  <c r="AY79" i="2"/>
  <c r="AY65" i="2"/>
  <c r="BC65" i="2"/>
  <c r="BE65" i="2"/>
  <c r="BA65" i="2"/>
  <c r="AW65" i="2"/>
  <c r="BE22" i="2"/>
  <c r="BA22" i="2"/>
  <c r="AW22" i="2"/>
  <c r="BC22" i="2"/>
  <c r="AY22" i="2"/>
  <c r="BE70" i="2"/>
  <c r="BA70" i="2"/>
  <c r="AW70" i="2"/>
  <c r="BC70" i="2"/>
  <c r="AY70" i="2"/>
  <c r="BE58" i="2"/>
  <c r="BA58" i="2"/>
  <c r="AW58" i="2"/>
  <c r="BC58" i="2"/>
  <c r="AY58" i="2"/>
  <c r="BE19" i="2"/>
  <c r="AW19" i="2"/>
  <c r="BC19" i="2"/>
  <c r="AY19" i="2"/>
  <c r="BA19" i="2"/>
  <c r="BE43" i="2"/>
  <c r="AW43" i="2"/>
  <c r="BA43" i="2"/>
  <c r="BC43" i="2"/>
  <c r="AY43" i="2"/>
  <c r="BC56" i="2"/>
  <c r="AY56" i="2"/>
  <c r="BE56" i="2"/>
  <c r="BA56" i="2"/>
  <c r="AW56" i="2"/>
  <c r="BE25" i="2"/>
  <c r="BA25" i="2"/>
  <c r="AW25" i="2"/>
  <c r="BC25" i="2"/>
  <c r="AY25" i="2"/>
  <c r="BE28" i="2"/>
  <c r="AW28" i="2"/>
  <c r="BC28" i="2"/>
  <c r="AY28" i="2"/>
  <c r="BA28" i="2"/>
  <c r="AM78" i="2"/>
  <c r="AQ47" i="2"/>
  <c r="AO47" i="2"/>
  <c r="AO38" i="2"/>
  <c r="AS38" i="2"/>
  <c r="AQ57" i="2"/>
  <c r="AS71" i="2"/>
  <c r="AQ7" i="2"/>
  <c r="AS11" i="2"/>
  <c r="BC5" i="2"/>
  <c r="BA5" i="2"/>
  <c r="AW5" i="2"/>
  <c r="BE5" i="2"/>
  <c r="AY5" i="2"/>
  <c r="BC46" i="2"/>
  <c r="AY46" i="2"/>
  <c r="BE46" i="2"/>
  <c r="BA46" i="2"/>
  <c r="AW46" i="2"/>
  <c r="BC37" i="2"/>
  <c r="AY37" i="2"/>
  <c r="BE37" i="2"/>
  <c r="BA37" i="2"/>
  <c r="AW37" i="2"/>
  <c r="AO2" i="2"/>
  <c r="AM2" i="2"/>
  <c r="AQ2" i="2"/>
  <c r="AS2" i="2"/>
  <c r="BC18" i="2"/>
  <c r="AY18" i="2"/>
  <c r="BE18" i="2"/>
  <c r="BA18" i="2"/>
  <c r="AW18" i="2"/>
  <c r="BE67" i="2"/>
  <c r="AW67" i="2"/>
  <c r="BA67" i="2"/>
  <c r="BC67" i="2"/>
  <c r="AY67" i="2"/>
  <c r="BC13" i="2"/>
  <c r="BE13" i="2"/>
  <c r="BA13" i="2"/>
  <c r="AW13" i="2"/>
  <c r="AY13" i="2"/>
  <c r="BC30" i="2"/>
  <c r="AY30" i="2"/>
  <c r="BE30" i="2"/>
  <c r="BA30" i="2"/>
  <c r="AW30" i="2"/>
  <c r="BA4" i="2"/>
  <c r="AW4" i="2"/>
  <c r="BE4" i="2"/>
  <c r="BC4" i="2"/>
  <c r="AY4" i="2"/>
  <c r="BC45" i="2"/>
  <c r="AY45" i="2"/>
  <c r="BE45" i="2"/>
  <c r="BA45" i="2"/>
  <c r="AW45" i="2"/>
  <c r="BE59" i="2"/>
  <c r="AW59" i="2"/>
  <c r="BA59" i="2"/>
  <c r="BC59" i="2"/>
  <c r="AY59" i="2"/>
  <c r="BC75" i="2"/>
  <c r="AY75" i="2"/>
  <c r="BE75" i="2"/>
  <c r="BA75" i="2"/>
  <c r="AW75" i="2"/>
  <c r="BE36" i="2"/>
  <c r="AW36" i="2"/>
  <c r="BC36" i="2"/>
  <c r="AY36" i="2"/>
  <c r="BA36" i="2"/>
  <c r="BA32" i="2"/>
  <c r="BE32" i="2"/>
  <c r="AW32" i="2"/>
  <c r="BC32" i="2"/>
  <c r="AY32" i="2"/>
  <c r="AQ38" i="2"/>
  <c r="BC8" i="2"/>
  <c r="AY8" i="2"/>
  <c r="BA8" i="2"/>
  <c r="AW8" i="2"/>
  <c r="BE8" i="2"/>
  <c r="AS67" i="2"/>
  <c r="AS21" i="2"/>
  <c r="AQ15" i="2"/>
  <c r="AO74" i="2"/>
  <c r="AS63" i="2"/>
  <c r="AS78" i="2"/>
  <c r="AQ5" i="2"/>
  <c r="AS47" i="2"/>
  <c r="AO26" i="2"/>
  <c r="AY17" i="2"/>
  <c r="BE17" i="2"/>
  <c r="BC17" i="2"/>
  <c r="BA17" i="2"/>
  <c r="AW17" i="2"/>
  <c r="BA47" i="2"/>
  <c r="BC47" i="2"/>
  <c r="AY47" i="2"/>
  <c r="BE47" i="2"/>
  <c r="AW47" i="2"/>
  <c r="BA15" i="2"/>
  <c r="BE15" i="2"/>
  <c r="AW15" i="2"/>
  <c r="BC15" i="2"/>
  <c r="AY15" i="2"/>
  <c r="BE14" i="2"/>
  <c r="BA14" i="2"/>
  <c r="AW14" i="2"/>
  <c r="BC14" i="2"/>
  <c r="AY14" i="2"/>
  <c r="BC44" i="2"/>
  <c r="AY44" i="2"/>
  <c r="BE44" i="2"/>
  <c r="BA44" i="2"/>
  <c r="AW44" i="2"/>
  <c r="BE60" i="2"/>
  <c r="BA60" i="2"/>
  <c r="AW60" i="2"/>
  <c r="BC60" i="2"/>
  <c r="AY60" i="2"/>
  <c r="BE12" i="2"/>
  <c r="BA12" i="2"/>
  <c r="AW12" i="2"/>
  <c r="BC12" i="2"/>
  <c r="AY12" i="2"/>
  <c r="BE52" i="2"/>
  <c r="BA52" i="2"/>
  <c r="AW52" i="2"/>
  <c r="BC52" i="2"/>
  <c r="AY52" i="2"/>
  <c r="BC53" i="2"/>
  <c r="AY53" i="2"/>
  <c r="BE53" i="2"/>
  <c r="BA53" i="2"/>
  <c r="AW53" i="2"/>
  <c r="BE68" i="2"/>
  <c r="BA68" i="2"/>
  <c r="AW68" i="2"/>
  <c r="BC68" i="2"/>
  <c r="AY68" i="2"/>
  <c r="BE11" i="2"/>
  <c r="AW11" i="2"/>
  <c r="BC11" i="2"/>
  <c r="AY11" i="2"/>
  <c r="BA11" i="2"/>
  <c r="BE51" i="2"/>
  <c r="AW51" i="2"/>
  <c r="BA51" i="2"/>
  <c r="BC51" i="2"/>
  <c r="AY51" i="2"/>
  <c r="CN33" i="2" l="1"/>
  <c r="CL33" i="2"/>
  <c r="BY33" i="2"/>
  <c r="CE33" i="2"/>
  <c r="CA33" i="2"/>
  <c r="CC33" i="2"/>
  <c r="CA64" i="2"/>
  <c r="CC64" i="2"/>
  <c r="CE64" i="2"/>
  <c r="CG64" i="2"/>
  <c r="BY64" i="2"/>
  <c r="BY23" i="2"/>
  <c r="CC23" i="2"/>
  <c r="CE23" i="2"/>
  <c r="CA23" i="2"/>
  <c r="CG23" i="2"/>
  <c r="CE43" i="2"/>
  <c r="CG43" i="2"/>
  <c r="CA43" i="2"/>
  <c r="CC43" i="2"/>
  <c r="BY43" i="2"/>
  <c r="BY48" i="2"/>
  <c r="CA48" i="2"/>
  <c r="CC48" i="2"/>
  <c r="CE48" i="2"/>
  <c r="CG48" i="2"/>
  <c r="CG16" i="2"/>
  <c r="BY16" i="2"/>
  <c r="CC16" i="2"/>
  <c r="CE16" i="2"/>
  <c r="CA16" i="2"/>
  <c r="CA29" i="2"/>
  <c r="CC29" i="2"/>
  <c r="CE29" i="2"/>
  <c r="CG29" i="2"/>
  <c r="BY29" i="2"/>
  <c r="CG69" i="2"/>
  <c r="CE69" i="2"/>
  <c r="BY69" i="2"/>
  <c r="CA69" i="2"/>
  <c r="CC69" i="2"/>
  <c r="CA73" i="2"/>
  <c r="CC73" i="2"/>
  <c r="CE73" i="2"/>
  <c r="CG73" i="2"/>
  <c r="BY73" i="2"/>
  <c r="CG8" i="2"/>
  <c r="BY8" i="2"/>
  <c r="CA8" i="2"/>
  <c r="CC8" i="2"/>
  <c r="CE8" i="2"/>
  <c r="CA47" i="2"/>
  <c r="CC47" i="2"/>
  <c r="CE47" i="2"/>
  <c r="CG47" i="2"/>
  <c r="BY47" i="2"/>
  <c r="CC35" i="2"/>
  <c r="CE35" i="2"/>
  <c r="CG35" i="2"/>
  <c r="CA35" i="2"/>
  <c r="BY35" i="2"/>
  <c r="CC53" i="2"/>
  <c r="CE53" i="2"/>
  <c r="CG53" i="2"/>
  <c r="CA53" i="2"/>
  <c r="BY53" i="2"/>
  <c r="CC44" i="2"/>
  <c r="CE44" i="2"/>
  <c r="CG44" i="2"/>
  <c r="CA44" i="2"/>
  <c r="BY44" i="2"/>
  <c r="BY41" i="2"/>
  <c r="CC41" i="2"/>
  <c r="CE41" i="2"/>
  <c r="CG41" i="2"/>
  <c r="CA41" i="2"/>
  <c r="CN21" i="2"/>
  <c r="CP21" i="2"/>
  <c r="CL21" i="2"/>
  <c r="CL22" i="2"/>
  <c r="CN22" i="2"/>
  <c r="CP22" i="2"/>
  <c r="CA37" i="2"/>
  <c r="CC37" i="2"/>
  <c r="CE37" i="2"/>
  <c r="CG37" i="2"/>
  <c r="BY37" i="2"/>
  <c r="CE26" i="2"/>
  <c r="CG26" i="2"/>
  <c r="CC26" i="2"/>
  <c r="CA26" i="2"/>
  <c r="BY26" i="2"/>
  <c r="CL6" i="2"/>
  <c r="CN6" i="2"/>
  <c r="CP6" i="2"/>
  <c r="CP20" i="2"/>
  <c r="CL20" i="2"/>
  <c r="CN20" i="2"/>
  <c r="CL59" i="2"/>
  <c r="CN59" i="2"/>
  <c r="CP59" i="2"/>
  <c r="CL19" i="2"/>
  <c r="CN19" i="2"/>
  <c r="CP19" i="2"/>
  <c r="CL70" i="2"/>
  <c r="CN70" i="2"/>
  <c r="CP70" i="2"/>
  <c r="CL9" i="2"/>
  <c r="CN9" i="2"/>
  <c r="CP9" i="2"/>
  <c r="BY65" i="2"/>
  <c r="CA65" i="2"/>
  <c r="CC65" i="2"/>
  <c r="CE65" i="2"/>
  <c r="CG65" i="2"/>
  <c r="CC10" i="2"/>
  <c r="CE10" i="2"/>
  <c r="CG10" i="2"/>
  <c r="BY10" i="2"/>
  <c r="CA10" i="2"/>
  <c r="CA4" i="2"/>
  <c r="CC4" i="2"/>
  <c r="CE4" i="2"/>
  <c r="CG4" i="2"/>
  <c r="BY4" i="2"/>
  <c r="CN39" i="2"/>
  <c r="CP39" i="2"/>
  <c r="CL39" i="2"/>
  <c r="CP64" i="2"/>
  <c r="CL64" i="2"/>
  <c r="CN64" i="2"/>
  <c r="CL51" i="2"/>
  <c r="CN51" i="2"/>
  <c r="CP51" i="2"/>
  <c r="CL35" i="2"/>
  <c r="CN35" i="2"/>
  <c r="CP35" i="2"/>
  <c r="CL53" i="2"/>
  <c r="CN53" i="2"/>
  <c r="CP53" i="2"/>
  <c r="CL44" i="2"/>
  <c r="CN44" i="2"/>
  <c r="CP44" i="2"/>
  <c r="CL41" i="2"/>
  <c r="CN41" i="2"/>
  <c r="CP41" i="2"/>
  <c r="BY21" i="2"/>
  <c r="CA21" i="2"/>
  <c r="CC21" i="2"/>
  <c r="CE21" i="2"/>
  <c r="CG21" i="2"/>
  <c r="CA11" i="2"/>
  <c r="CC11" i="2"/>
  <c r="CE11" i="2"/>
  <c r="CG11" i="2"/>
  <c r="BY11" i="2"/>
  <c r="BY22" i="2"/>
  <c r="CA22" i="2"/>
  <c r="CC22" i="2"/>
  <c r="CE22" i="2"/>
  <c r="CG22" i="2"/>
  <c r="CL23" i="2"/>
  <c r="CN23" i="2"/>
  <c r="CP23" i="2"/>
  <c r="CL43" i="2"/>
  <c r="CN43" i="2"/>
  <c r="CP43" i="2"/>
  <c r="BY58" i="2"/>
  <c r="CC58" i="2"/>
  <c r="CE58" i="2"/>
  <c r="CG58" i="2"/>
  <c r="CA58" i="2"/>
  <c r="BY15" i="2"/>
  <c r="CC15" i="2"/>
  <c r="CE15" i="2"/>
  <c r="CG15" i="2"/>
  <c r="CA15" i="2"/>
  <c r="CL57" i="2"/>
  <c r="CN57" i="2"/>
  <c r="CP57" i="2"/>
  <c r="CL42" i="2"/>
  <c r="CN42" i="2"/>
  <c r="CP42" i="2"/>
  <c r="BY6" i="2"/>
  <c r="CA6" i="2"/>
  <c r="CC6" i="2"/>
  <c r="CE6" i="2"/>
  <c r="CG6" i="2"/>
  <c r="CN48" i="2"/>
  <c r="CP48" i="2"/>
  <c r="CL48" i="2"/>
  <c r="CL16" i="2"/>
  <c r="CN16" i="2"/>
  <c r="CP16" i="2"/>
  <c r="CP29" i="2"/>
  <c r="CL29" i="2"/>
  <c r="CN29" i="2"/>
  <c r="CL69" i="2"/>
  <c r="CN69" i="2"/>
  <c r="CP69" i="2"/>
  <c r="CN65" i="2"/>
  <c r="CP65" i="2"/>
  <c r="CL65" i="2"/>
  <c r="CL73" i="2"/>
  <c r="CN73" i="2"/>
  <c r="CP73" i="2"/>
  <c r="BY57" i="2"/>
  <c r="CA57" i="2"/>
  <c r="CE57" i="2"/>
  <c r="CG57" i="2"/>
  <c r="CC57" i="2"/>
  <c r="CL8" i="2"/>
  <c r="CN8" i="2"/>
  <c r="CP8" i="2"/>
  <c r="CL10" i="2"/>
  <c r="CN10" i="2"/>
  <c r="CP10" i="2"/>
  <c r="CP4" i="2"/>
  <c r="CL4" i="2"/>
  <c r="CN4" i="2"/>
  <c r="BY39" i="2"/>
  <c r="CA39" i="2"/>
  <c r="CC39" i="2"/>
  <c r="CE39" i="2"/>
  <c r="CG39" i="2"/>
  <c r="CP47" i="2"/>
  <c r="CL47" i="2"/>
  <c r="CN47" i="2"/>
  <c r="CL11" i="2"/>
  <c r="CN11" i="2"/>
  <c r="CP11" i="2"/>
  <c r="CL58" i="2"/>
  <c r="CN58" i="2"/>
  <c r="CP58" i="2"/>
  <c r="CP37" i="2"/>
  <c r="CL37" i="2"/>
  <c r="CN37" i="2"/>
  <c r="CL26" i="2"/>
  <c r="CN26" i="2"/>
  <c r="CP26" i="2"/>
  <c r="CL15" i="2"/>
  <c r="CN15" i="2"/>
  <c r="CP15" i="2"/>
  <c r="BY56" i="2"/>
  <c r="CA56" i="2"/>
  <c r="CC56" i="2"/>
  <c r="CE56" i="2"/>
  <c r="CG56" i="2"/>
  <c r="CA36" i="2"/>
  <c r="CC36" i="2"/>
  <c r="CE36" i="2"/>
  <c r="CG36" i="2"/>
  <c r="BY36" i="2"/>
  <c r="CE60" i="2"/>
  <c r="CG60" i="2"/>
  <c r="CC60" i="2"/>
  <c r="CA60" i="2"/>
  <c r="BY60" i="2"/>
  <c r="CA63" i="2"/>
  <c r="CC63" i="2"/>
  <c r="CE63" i="2"/>
  <c r="CG63" i="2"/>
  <c r="BY63" i="2"/>
  <c r="CG42" i="2"/>
  <c r="BY42" i="2"/>
  <c r="CE42" i="2"/>
  <c r="CA42" i="2"/>
  <c r="CC42" i="2"/>
  <c r="CL40" i="2"/>
  <c r="CN40" i="2"/>
  <c r="CP40" i="2"/>
  <c r="BY75" i="2"/>
  <c r="CA75" i="2"/>
  <c r="CC75" i="2"/>
  <c r="CE75" i="2"/>
  <c r="CG75" i="2"/>
  <c r="CE52" i="2"/>
  <c r="CG52" i="2"/>
  <c r="CA52" i="2"/>
  <c r="CC52" i="2"/>
  <c r="BY52" i="2"/>
  <c r="CC62" i="2"/>
  <c r="CE62" i="2"/>
  <c r="CG62" i="2"/>
  <c r="BY62" i="2"/>
  <c r="CA62" i="2"/>
  <c r="CE34" i="2"/>
  <c r="CG34" i="2"/>
  <c r="CA34" i="2"/>
  <c r="CC34" i="2"/>
  <c r="BY34" i="2"/>
  <c r="CG78" i="2"/>
  <c r="BY78" i="2"/>
  <c r="CC78" i="2"/>
  <c r="CA78" i="2"/>
  <c r="CE78" i="2"/>
  <c r="CG25" i="2"/>
  <c r="BY25" i="2"/>
  <c r="CA25" i="2"/>
  <c r="CC25" i="2"/>
  <c r="CE25" i="2"/>
  <c r="CE17" i="2"/>
  <c r="CG17" i="2"/>
  <c r="CA17" i="2"/>
  <c r="BY17" i="2"/>
  <c r="CC17" i="2"/>
  <c r="BY7" i="2"/>
  <c r="CC7" i="2"/>
  <c r="CE7" i="2"/>
  <c r="CG7" i="2"/>
  <c r="CA7" i="2"/>
  <c r="CL31" i="2"/>
  <c r="CN31" i="2"/>
  <c r="CP31" i="2"/>
  <c r="CA54" i="2"/>
  <c r="CC54" i="2"/>
  <c r="CE54" i="2"/>
  <c r="CG54" i="2"/>
  <c r="BY54" i="2"/>
  <c r="CC27" i="2"/>
  <c r="CE27" i="2"/>
  <c r="CG27" i="2"/>
  <c r="BY27" i="2"/>
  <c r="CA27" i="2"/>
  <c r="CA12" i="2"/>
  <c r="CC12" i="2"/>
  <c r="CE12" i="2"/>
  <c r="CG12" i="2"/>
  <c r="BY12" i="2"/>
  <c r="CA55" i="2"/>
  <c r="CC55" i="2"/>
  <c r="CE55" i="2"/>
  <c r="CG55" i="2"/>
  <c r="BY55" i="2"/>
  <c r="CA28" i="2"/>
  <c r="CC28" i="2"/>
  <c r="CE28" i="2"/>
  <c r="CG28" i="2"/>
  <c r="BY28" i="2"/>
  <c r="BY49" i="2"/>
  <c r="CA49" i="2"/>
  <c r="CE49" i="2"/>
  <c r="CG49" i="2"/>
  <c r="CC49" i="2"/>
  <c r="CA74" i="2"/>
  <c r="CC74" i="2"/>
  <c r="CE74" i="2"/>
  <c r="CG74" i="2"/>
  <c r="BY74" i="2"/>
  <c r="BY40" i="2"/>
  <c r="CA40" i="2"/>
  <c r="CE40" i="2"/>
  <c r="CG40" i="2"/>
  <c r="CC40" i="2"/>
  <c r="CC77" i="2"/>
  <c r="CE77" i="2"/>
  <c r="CA77" i="2"/>
  <c r="CG77" i="2"/>
  <c r="BY77" i="2"/>
  <c r="BY32" i="2"/>
  <c r="CC32" i="2"/>
  <c r="CE32" i="2"/>
  <c r="CG32" i="2"/>
  <c r="CA32" i="2"/>
  <c r="CN13" i="2"/>
  <c r="CP13" i="2"/>
  <c r="CL13" i="2"/>
  <c r="CC18" i="2"/>
  <c r="CE18" i="2"/>
  <c r="CG18" i="2"/>
  <c r="CA18" i="2"/>
  <c r="BY18" i="2"/>
  <c r="CA46" i="2"/>
  <c r="CC46" i="2"/>
  <c r="CE46" i="2"/>
  <c r="CG46" i="2"/>
  <c r="BY46" i="2"/>
  <c r="CE79" i="2"/>
  <c r="CG79" i="2"/>
  <c r="BY79" i="2"/>
  <c r="CC79" i="2"/>
  <c r="CA79" i="2"/>
  <c r="CL7" i="2"/>
  <c r="CN7" i="2"/>
  <c r="CP7" i="2"/>
  <c r="CN56" i="2"/>
  <c r="CP56" i="2"/>
  <c r="CL56" i="2"/>
  <c r="CL36" i="2"/>
  <c r="CN36" i="2"/>
  <c r="CP36" i="2"/>
  <c r="CL60" i="2"/>
  <c r="CN60" i="2"/>
  <c r="CP60" i="2"/>
  <c r="BY31" i="2"/>
  <c r="CA31" i="2"/>
  <c r="CE31" i="2"/>
  <c r="CG31" i="2"/>
  <c r="CC31" i="2"/>
  <c r="CL63" i="2"/>
  <c r="CN63" i="2"/>
  <c r="CP63" i="2"/>
  <c r="CL14" i="2"/>
  <c r="CN14" i="2"/>
  <c r="CP14" i="2"/>
  <c r="BY50" i="2"/>
  <c r="CC50" i="2"/>
  <c r="CE50" i="2"/>
  <c r="CG50" i="2"/>
  <c r="CA50" i="2"/>
  <c r="CA20" i="2"/>
  <c r="CC20" i="2"/>
  <c r="CE20" i="2"/>
  <c r="CG20" i="2"/>
  <c r="BY20" i="2"/>
  <c r="BY68" i="2"/>
  <c r="CC68" i="2"/>
  <c r="CE68" i="2"/>
  <c r="CG68" i="2"/>
  <c r="CA68" i="2"/>
  <c r="CL49" i="2"/>
  <c r="CN49" i="2"/>
  <c r="CP49" i="2"/>
  <c r="CN30" i="2"/>
  <c r="CP30" i="2"/>
  <c r="CL30" i="2"/>
  <c r="CN75" i="2"/>
  <c r="CP75" i="2"/>
  <c r="CL75" i="2"/>
  <c r="CL77" i="2"/>
  <c r="CN77" i="2"/>
  <c r="CP77" i="2"/>
  <c r="CL52" i="2"/>
  <c r="CN52" i="2"/>
  <c r="CP52" i="2"/>
  <c r="CL62" i="2"/>
  <c r="CN62" i="2"/>
  <c r="CP62" i="2"/>
  <c r="CL32" i="2"/>
  <c r="CN32" i="2"/>
  <c r="CP32" i="2"/>
  <c r="BY67" i="2"/>
  <c r="CA67" i="2"/>
  <c r="CE67" i="2"/>
  <c r="CG67" i="2"/>
  <c r="CC67" i="2"/>
  <c r="CC2" i="2"/>
  <c r="CE2" i="2"/>
  <c r="CG2" i="2"/>
  <c r="BY2" i="2"/>
  <c r="CA2" i="2"/>
  <c r="CL34" i="2"/>
  <c r="CN34" i="2"/>
  <c r="CP34" i="2"/>
  <c r="BY13" i="2"/>
  <c r="CA13" i="2"/>
  <c r="CC13" i="2"/>
  <c r="CE13" i="2"/>
  <c r="CG13" i="2"/>
  <c r="CN5" i="2"/>
  <c r="CP5" i="2"/>
  <c r="CL5" i="2"/>
  <c r="CL78" i="2"/>
  <c r="CN78" i="2"/>
  <c r="CP78" i="2"/>
  <c r="CL25" i="2"/>
  <c r="CN25" i="2"/>
  <c r="CP25" i="2"/>
  <c r="CL17" i="2"/>
  <c r="CN17" i="2"/>
  <c r="CP17" i="2"/>
  <c r="CL54" i="2"/>
  <c r="CN54" i="2"/>
  <c r="CP54" i="2"/>
  <c r="CL27" i="2"/>
  <c r="CN27" i="2"/>
  <c r="CP27" i="2"/>
  <c r="CP12" i="2"/>
  <c r="CL12" i="2"/>
  <c r="CN12" i="2"/>
  <c r="BY14" i="2"/>
  <c r="CA14" i="2"/>
  <c r="CC14" i="2"/>
  <c r="CE14" i="2"/>
  <c r="CG14" i="2"/>
  <c r="CP55" i="2"/>
  <c r="CL55" i="2"/>
  <c r="CN55" i="2"/>
  <c r="CL50" i="2"/>
  <c r="CN50" i="2"/>
  <c r="CP50" i="2"/>
  <c r="CG51" i="2"/>
  <c r="BY51" i="2"/>
  <c r="CC51" i="2"/>
  <c r="CE51" i="2"/>
  <c r="CA51" i="2"/>
  <c r="CL28" i="2"/>
  <c r="CN28" i="2"/>
  <c r="CP28" i="2"/>
  <c r="CL68" i="2"/>
  <c r="CN68" i="2"/>
  <c r="CP68" i="2"/>
  <c r="BY30" i="2"/>
  <c r="CA30" i="2"/>
  <c r="CC30" i="2"/>
  <c r="CE30" i="2"/>
  <c r="CG30" i="2"/>
  <c r="CP74" i="2"/>
  <c r="CL74" i="2"/>
  <c r="CN74" i="2"/>
  <c r="CL67" i="2"/>
  <c r="CN67" i="2"/>
  <c r="CP67" i="2"/>
  <c r="CL2" i="2"/>
  <c r="CN2" i="2"/>
  <c r="CP2" i="2"/>
  <c r="CL18" i="2"/>
  <c r="CN18" i="2"/>
  <c r="CP18" i="2"/>
  <c r="CL46" i="2"/>
  <c r="CN46" i="2"/>
  <c r="CP46" i="2"/>
  <c r="CL79" i="2"/>
  <c r="CN79" i="2"/>
  <c r="CP79" i="2"/>
  <c r="BY5" i="2"/>
  <c r="CA5" i="2"/>
  <c r="CC5" i="2"/>
  <c r="CE5" i="2"/>
  <c r="CG5" i="2"/>
  <c r="CG59" i="2"/>
  <c r="BY59" i="2"/>
  <c r="CE59" i="2"/>
  <c r="CC59" i="2"/>
  <c r="CA59" i="2"/>
  <c r="CA19" i="2"/>
  <c r="CC19" i="2"/>
  <c r="CE19" i="2"/>
  <c r="CG19" i="2"/>
  <c r="BY19" i="2"/>
  <c r="CE70" i="2"/>
  <c r="CG70" i="2"/>
  <c r="CA70" i="2"/>
  <c r="BY70" i="2"/>
  <c r="CC70" i="2"/>
  <c r="CE9" i="2"/>
  <c r="CG9" i="2"/>
  <c r="CA9" i="2"/>
  <c r="CC9" i="2"/>
  <c r="BY9" i="2"/>
</calcChain>
</file>

<file path=xl/sharedStrings.xml><?xml version="1.0" encoding="utf-8"?>
<sst xmlns="http://schemas.openxmlformats.org/spreadsheetml/2006/main" count="584" uniqueCount="409">
  <si>
    <t>ID</t>
  </si>
  <si>
    <t>hematies_abs</t>
  </si>
  <si>
    <t>hematies_%</t>
  </si>
  <si>
    <t>hb</t>
  </si>
  <si>
    <t>plaquetas_abs</t>
  </si>
  <si>
    <t>neutrofilos_abs</t>
  </si>
  <si>
    <t>neutrofilos_%</t>
  </si>
  <si>
    <t>monocitos_abs</t>
  </si>
  <si>
    <t>monocitos_%</t>
  </si>
  <si>
    <t>eosinofilos_abs</t>
  </si>
  <si>
    <t>eosinofilos_%</t>
  </si>
  <si>
    <t>basofilos_abs</t>
  </si>
  <si>
    <t>basofilos_%</t>
  </si>
  <si>
    <t>linfocitos_abs</t>
  </si>
  <si>
    <t>linfocitos_%</t>
  </si>
  <si>
    <t>linfocitos_cd45</t>
  </si>
  <si>
    <t>NHC</t>
  </si>
  <si>
    <t>Tregs</t>
  </si>
  <si>
    <t>Th9</t>
  </si>
  <si>
    <t>Th1</t>
  </si>
  <si>
    <t>Th2</t>
  </si>
  <si>
    <t>Th17</t>
  </si>
  <si>
    <t>Th22</t>
  </si>
  <si>
    <t>Tfh1</t>
  </si>
  <si>
    <t>Tfh2</t>
  </si>
  <si>
    <t>Tfh17</t>
  </si>
  <si>
    <t>naive</t>
  </si>
  <si>
    <t>postCG</t>
  </si>
  <si>
    <t>Identificador</t>
  </si>
  <si>
    <t>Nombre</t>
  </si>
  <si>
    <t>Apellidos</t>
  </si>
  <si>
    <t>SIP</t>
  </si>
  <si>
    <t>Consuelo</t>
  </si>
  <si>
    <t>Leal Martínez</t>
  </si>
  <si>
    <t xml:space="preserve">Juan Francis </t>
  </si>
  <si>
    <t>Mayordomo Cruz</t>
  </si>
  <si>
    <t xml:space="preserve">Joaquin </t>
  </si>
  <si>
    <t>Anaya Martinez</t>
  </si>
  <si>
    <t>M Teresa</t>
  </si>
  <si>
    <t>Marin Garcia</t>
  </si>
  <si>
    <t>Peces Gomez</t>
  </si>
  <si>
    <t>Molina Molina</t>
  </si>
  <si>
    <t>Jose</t>
  </si>
  <si>
    <t>Iniesta Ferrer</t>
  </si>
  <si>
    <t xml:space="preserve">M Dolores </t>
  </si>
  <si>
    <t>Plaza Fraile</t>
  </si>
  <si>
    <t>Severo</t>
  </si>
  <si>
    <t>De La Iglesia Rodriguez</t>
  </si>
  <si>
    <t>Soledad</t>
  </si>
  <si>
    <t>Atineza Moneo</t>
  </si>
  <si>
    <t>Josefa</t>
  </si>
  <si>
    <t>Rodríguez Ortega</t>
  </si>
  <si>
    <t>Daniel</t>
  </si>
  <si>
    <t>Tarazona García</t>
  </si>
  <si>
    <t>Carmen</t>
  </si>
  <si>
    <t>Chiva Fliquete</t>
  </si>
  <si>
    <t>Maria Teresa</t>
  </si>
  <si>
    <t>Tarazon Descalzo</t>
  </si>
  <si>
    <t>Juan</t>
  </si>
  <si>
    <t>Aguilar Jimenez</t>
  </si>
  <si>
    <t>Ana Maria</t>
  </si>
  <si>
    <t>Muñoz Montoro</t>
  </si>
  <si>
    <t>Diego</t>
  </si>
  <si>
    <t>Infante Cervera</t>
  </si>
  <si>
    <t xml:space="preserve">M Lourdes Rey </t>
  </si>
  <si>
    <t>Ausina Martínez</t>
  </si>
  <si>
    <t>Remedios</t>
  </si>
  <si>
    <t>Fenollar Donet</t>
  </si>
  <si>
    <t>sex</t>
  </si>
  <si>
    <t>age</t>
  </si>
  <si>
    <t>Observaciones</t>
  </si>
  <si>
    <t>cdr_tot</t>
  </si>
  <si>
    <t>cdrm</t>
  </si>
  <si>
    <t>cdro</t>
  </si>
  <si>
    <t>cdrr</t>
  </si>
  <si>
    <t>cdraf</t>
  </si>
  <si>
    <t>cdrad</t>
  </si>
  <si>
    <t>cdrc</t>
  </si>
  <si>
    <t>rbans_suma</t>
  </si>
  <si>
    <t>rbans_escala</t>
  </si>
  <si>
    <t>fazekas rm</t>
  </si>
  <si>
    <t>first_st</t>
  </si>
  <si>
    <t>dx_date</t>
  </si>
  <si>
    <t>evolution</t>
  </si>
  <si>
    <t>cvd</t>
  </si>
  <si>
    <t>cic</t>
  </si>
  <si>
    <t>ai</t>
  </si>
  <si>
    <t>ckd</t>
  </si>
  <si>
    <t>study</t>
  </si>
  <si>
    <t>alcohol</t>
  </si>
  <si>
    <t>tobacco</t>
  </si>
  <si>
    <t>socioeconomy</t>
  </si>
  <si>
    <t>OBSERVACIONES</t>
  </si>
  <si>
    <t>caso</t>
  </si>
  <si>
    <t>Enfermedad alzheimer preclinica</t>
  </si>
  <si>
    <t>E3/E3</t>
  </si>
  <si>
    <t>E3/E4</t>
  </si>
  <si>
    <t>Copatología alzheimer +vascular</t>
  </si>
  <si>
    <t>Deterioro cognitivo mixto (patología psiquiátrica, farmacoterapia y anterior consumo de tóxicos)</t>
  </si>
  <si>
    <t xml:space="preserve">Enfermedad de Alzheimer </t>
  </si>
  <si>
    <t>E4/E4</t>
  </si>
  <si>
    <t>Enfermedad alzheimer estadio moderado</t>
  </si>
  <si>
    <t>E2/E3</t>
  </si>
  <si>
    <t>EA GDS3</t>
  </si>
  <si>
    <t>Claudia</t>
  </si>
  <si>
    <t>Jimenez Macias</t>
  </si>
  <si>
    <t>Rosario</t>
  </si>
  <si>
    <t>Tena Ortiz</t>
  </si>
  <si>
    <t>Vicente</t>
  </si>
  <si>
    <t>Garcia Cervera</t>
  </si>
  <si>
    <t xml:space="preserve">Luis  </t>
  </si>
  <si>
    <t>Díaz Tapiador</t>
  </si>
  <si>
    <t>M Carmen</t>
  </si>
  <si>
    <t>Gomez Fort</t>
  </si>
  <si>
    <t>Encarnación</t>
  </si>
  <si>
    <t>Del Rio Parraga</t>
  </si>
  <si>
    <t>Mercedes</t>
  </si>
  <si>
    <t>Motes Ybañez</t>
  </si>
  <si>
    <t>Antonia</t>
  </si>
  <si>
    <t>Laudeña Davia</t>
  </si>
  <si>
    <t>David Oscar</t>
  </si>
  <si>
    <t>Romano</t>
  </si>
  <si>
    <t>Esteban Belenguer</t>
  </si>
  <si>
    <t>Gaspar</t>
  </si>
  <si>
    <t>Chumillas Talaya</t>
  </si>
  <si>
    <t>Arturo</t>
  </si>
  <si>
    <t>Peris Montero</t>
  </si>
  <si>
    <t>M Ester</t>
  </si>
  <si>
    <t>Toranzo Leissarrague</t>
  </si>
  <si>
    <t>Maria</t>
  </si>
  <si>
    <t>Ramos García</t>
  </si>
  <si>
    <t>Adelina</t>
  </si>
  <si>
    <t>Cuallado Navarro</t>
  </si>
  <si>
    <t>Amado</t>
  </si>
  <si>
    <t>Maria Josefa</t>
  </si>
  <si>
    <t>Benavent Navarro</t>
  </si>
  <si>
    <t xml:space="preserve">Juan Pedro </t>
  </si>
  <si>
    <t>Martínez González</t>
  </si>
  <si>
    <t>Alemany Sanchez</t>
  </si>
  <si>
    <t>Juan Carlos</t>
  </si>
  <si>
    <t>Luna Benavent</t>
  </si>
  <si>
    <t>Francisca</t>
  </si>
  <si>
    <t>Obrero Arroyo</t>
  </si>
  <si>
    <t>Purificacion</t>
  </si>
  <si>
    <t>Soriano Beso</t>
  </si>
  <si>
    <t xml:space="preserve">María Josefa </t>
  </si>
  <si>
    <t>Puigcerver García</t>
  </si>
  <si>
    <t>Zorrilla Palau</t>
  </si>
  <si>
    <t>Manuela</t>
  </si>
  <si>
    <t>Parra Bruque</t>
  </si>
  <si>
    <t>Enfermedad de alzheimer</t>
  </si>
  <si>
    <t>Depresión</t>
  </si>
  <si>
    <t>Posible angiopatía amiloide con hematoma lobar, E. alzheimer descartada</t>
  </si>
  <si>
    <t>Enfermedad de Alzheimer GDS3</t>
  </si>
  <si>
    <t>EA + vascular (pte neuro)</t>
  </si>
  <si>
    <t>Enfermedad azlheimer</t>
  </si>
  <si>
    <t>EA</t>
  </si>
  <si>
    <t>Mixto demencia cuerpos de lewy y amiloidosis cerebral</t>
  </si>
  <si>
    <t>Asuncion</t>
  </si>
  <si>
    <t>Comeche Alcaide</t>
  </si>
  <si>
    <t>M Dolores</t>
  </si>
  <si>
    <t>Vazquez Carrillo</t>
  </si>
  <si>
    <t>Maria Dolores</t>
  </si>
  <si>
    <t>Alba López</t>
  </si>
  <si>
    <t>Gallardo Rodriguez</t>
  </si>
  <si>
    <t>Pilar</t>
  </si>
  <si>
    <t>Palomares Soriano</t>
  </si>
  <si>
    <t>Inmaculada</t>
  </si>
  <si>
    <t>Valdearcos Enguidanos</t>
  </si>
  <si>
    <t>M carmen</t>
  </si>
  <si>
    <t>Martinez Soriano</t>
  </si>
  <si>
    <t xml:space="preserve">Isabel </t>
  </si>
  <si>
    <t>Suarez Sánchez</t>
  </si>
  <si>
    <t xml:space="preserve">Pedro  </t>
  </si>
  <si>
    <t>Ramirez Coca</t>
  </si>
  <si>
    <t>Enfermedad alzheimer preclinica (estado amiloide)</t>
  </si>
  <si>
    <t>E2/E4</t>
  </si>
  <si>
    <t>EXCLUIDO POR CRITERIO DE INCLUSIÓN 9</t>
  </si>
  <si>
    <t>Estruch Sánchez</t>
  </si>
  <si>
    <t>Mario</t>
  </si>
  <si>
    <t>Guardiola Sabater</t>
  </si>
  <si>
    <t>José Manuel</t>
  </si>
  <si>
    <t>Bricio Romero</t>
  </si>
  <si>
    <t>Maria Pilar</t>
  </si>
  <si>
    <t>Marti Martin</t>
  </si>
  <si>
    <t>Fons Buigues</t>
  </si>
  <si>
    <t>Luz Irene</t>
  </si>
  <si>
    <t>Celi Jaramillo</t>
  </si>
  <si>
    <t>Pedro Antonio</t>
  </si>
  <si>
    <t>Martínez Herraiz</t>
  </si>
  <si>
    <t>H Manuel</t>
  </si>
  <si>
    <t>Alcayde Rodrigo</t>
  </si>
  <si>
    <t>Jose Antonio</t>
  </si>
  <si>
    <t>Jiménez Urrea</t>
  </si>
  <si>
    <t xml:space="preserve">Margarita </t>
  </si>
  <si>
    <t>Lorente Montoliu</t>
  </si>
  <si>
    <t>Mixto vascular (ictus) y neurofilamento elevado (vigilar DFT aunque no cumple criterios)</t>
  </si>
  <si>
    <t>Bipolar II</t>
  </si>
  <si>
    <t>Enfermedad de alzhemer GDS 3</t>
  </si>
  <si>
    <t xml:space="preserve">Jose Luis </t>
  </si>
  <si>
    <t>Peris Peris</t>
  </si>
  <si>
    <t>Pons Arenzana</t>
  </si>
  <si>
    <t>Maria Rosser</t>
  </si>
  <si>
    <t>Saborit Roca</t>
  </si>
  <si>
    <t>Navarro Escriva</t>
  </si>
  <si>
    <t xml:space="preserve">Juliana </t>
  </si>
  <si>
    <t>Exposito Gómez</t>
  </si>
  <si>
    <t>Francisco</t>
  </si>
  <si>
    <t>Rios Espuny</t>
  </si>
  <si>
    <t>M Desamparados</t>
  </si>
  <si>
    <t>Granell Belmonte</t>
  </si>
  <si>
    <t xml:space="preserve">Jose </t>
  </si>
  <si>
    <t>Reig Armiñana</t>
  </si>
  <si>
    <t>Enfermedad Azlheimer GDS 3</t>
  </si>
  <si>
    <t>Enfermedad alzheimer</t>
  </si>
  <si>
    <t>Enfermedad de alzheimer preclinica</t>
  </si>
  <si>
    <t>Amaro</t>
  </si>
  <si>
    <t>Gonzalez Romero</t>
  </si>
  <si>
    <t>Félix</t>
  </si>
  <si>
    <t>León López</t>
  </si>
  <si>
    <t>naive_abs</t>
  </si>
  <si>
    <t>total_abs</t>
  </si>
  <si>
    <t>postCG_abs</t>
  </si>
  <si>
    <t>postCGunsw_abs</t>
  </si>
  <si>
    <t>postCGsw_abs</t>
  </si>
  <si>
    <t>postCGigd_abs</t>
  </si>
  <si>
    <t>Gabriel</t>
  </si>
  <si>
    <t>Aragón Aragón</t>
  </si>
  <si>
    <t>Dora Inés</t>
  </si>
  <si>
    <t>Estrada Estrada</t>
  </si>
  <si>
    <t>María Dolores</t>
  </si>
  <si>
    <t>Hervás Muñoz</t>
  </si>
  <si>
    <t>Alcantud Cayuela</t>
  </si>
  <si>
    <t>CD3_abs</t>
  </si>
  <si>
    <t>Quejas amnesicas por polifarmacia</t>
  </si>
  <si>
    <t>Demencia por cuerpos de Lewy</t>
  </si>
  <si>
    <t>Edda Selene</t>
  </si>
  <si>
    <t>García Solano</t>
  </si>
  <si>
    <t>FALTAN LOS THs DE LOS SIGUIENTES PACIENTES:</t>
  </si>
  <si>
    <t xml:space="preserve"> </t>
  </si>
  <si>
    <t>Tregs_abs</t>
  </si>
  <si>
    <t>Th9_abs</t>
  </si>
  <si>
    <t>Th1_abs</t>
  </si>
  <si>
    <t>Th2_abs</t>
  </si>
  <si>
    <t>Th17_abs</t>
  </si>
  <si>
    <t>Th22_abs</t>
  </si>
  <si>
    <t>Tfh2_abs</t>
  </si>
  <si>
    <t>Tfh17_abs</t>
  </si>
  <si>
    <t>Tfh1_abs</t>
  </si>
  <si>
    <t>DM</t>
  </si>
  <si>
    <t>DLP</t>
  </si>
  <si>
    <t>Cancer</t>
  </si>
  <si>
    <t>Statin</t>
  </si>
  <si>
    <t>Antiepileptic</t>
  </si>
  <si>
    <t>Antidepressant</t>
  </si>
  <si>
    <t>Antihypertensive</t>
  </si>
  <si>
    <t>Corticoid</t>
  </si>
  <si>
    <t>IS</t>
  </si>
  <si>
    <t>AINEs</t>
  </si>
  <si>
    <t>HTA</t>
  </si>
  <si>
    <t>multifactorial, en estudio, marcadores negativos, cirrosis y exADVP</t>
  </si>
  <si>
    <t>Cirrosis alcohólica</t>
  </si>
  <si>
    <t>En estudio, marcadores negativos. Alta como sano</t>
  </si>
  <si>
    <t>sano</t>
  </si>
  <si>
    <t>Cáncer de mama, cáncer de tiroides, conización CIN II</t>
  </si>
  <si>
    <t>Estenosis aórtica</t>
  </si>
  <si>
    <t>Enfermedad de Alzheimer grado leve</t>
  </si>
  <si>
    <t>Depresión, dado de alta</t>
  </si>
  <si>
    <t>Inmunoterapia anti-b-amiloide!</t>
  </si>
  <si>
    <t>EA inicio precoz y grado moderado</t>
  </si>
  <si>
    <t>Copatología alzheimer +DFT</t>
  </si>
  <si>
    <t>Adenocarcinoma de recto 2001 libre de enfermedad, recibió QT-RT neoadyuvante (tegafur-uracilo) + resección de recto</t>
  </si>
  <si>
    <t>Pone Lourdes que las ppcc entran dentro de la normalidad, pero le vuelven a dar cita</t>
  </si>
  <si>
    <t>Parece sano, no lo ha vuelto a ver neuro</t>
  </si>
  <si>
    <t>No se queria hacer PL, diagnosticada por marcador ptau en sangre</t>
  </si>
  <si>
    <t>Psoriasis, dermatitis que recordaba a ampollosa, derma le puso roflumilast</t>
  </si>
  <si>
    <t>Depresión y componente vascular, le dan de alta</t>
  </si>
  <si>
    <t>Bronquitis asmática, fibromialgia</t>
  </si>
  <si>
    <t>Esteatosis hepática</t>
  </si>
  <si>
    <t>Enfermedad de alzheimer con deterioro cognitivo leve</t>
  </si>
  <si>
    <t>Enfermedad degenerativa en relación con epilepsia de larga evolución</t>
  </si>
  <si>
    <t>Epilepsia mioclónica juvenil</t>
  </si>
  <si>
    <t>Enfermedad de alzheimer en estadío preclínico o prodrómico</t>
  </si>
  <si>
    <t>otras demencias</t>
  </si>
  <si>
    <t>Depresión y polifarmacia</t>
  </si>
  <si>
    <t>quejas mnesicas</t>
  </si>
  <si>
    <t>Asma bronquial</t>
  </si>
  <si>
    <t>Enfermedad de Alzheimer (GDS3)</t>
  </si>
  <si>
    <t>Antecedente de IAM</t>
  </si>
  <si>
    <t>Exitus por status epiléptico (sospecha de ictus isquémico), 16/01/26</t>
  </si>
  <si>
    <t>Deterioro cognitivo multidominio sin evidencia de enfermedad neurodegenerativa. Atrofia cortical parietal grado 1-2</t>
  </si>
  <si>
    <t>Cáncer de mama tratado con mastectomía bilateral y radioterapia (2016), SAOS</t>
  </si>
  <si>
    <t>Cistitis interstical en tto con neuromodulador</t>
  </si>
  <si>
    <t>Demencia frontotemporal (en estudio)</t>
  </si>
  <si>
    <t>Sospecha DFT</t>
  </si>
  <si>
    <t>Quejas cognitivas farmacológicas</t>
  </si>
  <si>
    <t>Cáncer vesical. Cistectomía radical con histerectomía y doble ooforectomía - neovejiga. Incontinencia de esfuerzo (2014)</t>
  </si>
  <si>
    <t>Deterioro neurológico a estudio pero miquel dice que queda descartado, igualmente le da cita para ver evolución</t>
  </si>
  <si>
    <t>Le dan el alta</t>
  </si>
  <si>
    <t>EA preclínica</t>
  </si>
  <si>
    <t>Demencia frontotemporal</t>
  </si>
  <si>
    <t>Deterioro cognitivo por polifarmacia</t>
  </si>
  <si>
    <t>Enfermedad de alzheimer preclínica</t>
  </si>
  <si>
    <t>Depresión grave con TEC, pero en PET-TAC cerebral informan de proceso neurodegenerativo primario. No hay citas en Neurología.</t>
  </si>
  <si>
    <t>Múltiples ingresos por depresión e intento autolítico. También consta trastorno bipolar.</t>
  </si>
  <si>
    <t>Sin evidencia de enfermedad neurodegenerativa, problemas de ansiedad</t>
  </si>
  <si>
    <t>En estudio en M digestiva por diarrea crónica (intolerancia alimentaria y funcional)</t>
  </si>
  <si>
    <t>Hipertensión intracraneal benigna (pseudotumor cerebrii)</t>
  </si>
  <si>
    <t>Asma bronquial (montelukast)</t>
  </si>
  <si>
    <t>Biología LCR de alzheimer aunque también vascular (ictus cerebeloso). Alzheimer preclínico</t>
  </si>
  <si>
    <t>Posibles secuelas post meningitis por S. pyogenes, disociación con marcadores en sangre que son muy patológicos</t>
  </si>
  <si>
    <t>DM tipo 1</t>
  </si>
  <si>
    <t>Quejas mnesicas de probable causa vascular</t>
  </si>
  <si>
    <t xml:space="preserve">Deterioro cognitivo leve EN RELACIÓN CON PLURIPATOLOGÍA Y PLURIFARMACIA </t>
  </si>
  <si>
    <t>Hay atrofia cerebral en polos temporales pero sin cumplir criterios de DFT, le dan de alta</t>
  </si>
  <si>
    <t>EPOC</t>
  </si>
  <si>
    <t>Concomitancia EA + d. Lewy</t>
  </si>
  <si>
    <t>EA prodrómica e hidrocefalia normotensiva</t>
  </si>
  <si>
    <t>SCACEST 2021</t>
  </si>
  <si>
    <t>Demencia vascular, por eso he marcado CVD</t>
  </si>
  <si>
    <t xml:space="preserve">Colitis isquémica 2017; angina de pecho microvascular 2015 </t>
  </si>
  <si>
    <t>Enfermedad de alzheimer prodrómica</t>
  </si>
  <si>
    <t>En tratamiento con etanercept por artritis psoriásica</t>
  </si>
  <si>
    <t>Enfermedad de alzheimer. GDS3 o prodrómica</t>
  </si>
  <si>
    <t>Demencia vascular/hidrocefalia normotensiva/LATTE (demencia asociada a la edad)</t>
  </si>
  <si>
    <t>Neoplasia de mama intervenida en 1998, desde entonces protesis</t>
  </si>
  <si>
    <t>SAOS portador de CPAP</t>
  </si>
  <si>
    <t>Inhalador con corticoide</t>
  </si>
  <si>
    <t>total%</t>
  </si>
  <si>
    <t>postCG_unsw</t>
  </si>
  <si>
    <t>postCG_sw</t>
  </si>
  <si>
    <t>postCG_IgD</t>
  </si>
  <si>
    <t>CD3_totales_%</t>
  </si>
  <si>
    <t>CD4_totales_%</t>
  </si>
  <si>
    <t>CD4_total_abs</t>
  </si>
  <si>
    <t>CD4+_Naive</t>
  </si>
  <si>
    <t>CD4+_efectora_terminal</t>
  </si>
  <si>
    <t>CD8_totales</t>
  </si>
  <si>
    <t>CD8_total_abs</t>
  </si>
  <si>
    <t>CD8+_naive</t>
  </si>
  <si>
    <t>CD8+_naive_abs</t>
  </si>
  <si>
    <t>CD8+_CD27+dim_abs</t>
  </si>
  <si>
    <t xml:space="preserve">CD8+_Efectora </t>
  </si>
  <si>
    <t>CD8+_efectora_abs</t>
  </si>
  <si>
    <t>doble_positivas</t>
  </si>
  <si>
    <t>doble_ positivas_abs</t>
  </si>
  <si>
    <t>doble_negativas_no_γ/δ</t>
  </si>
  <si>
    <t>doble_negativas_no_γ/δ_abs</t>
  </si>
  <si>
    <t>doble_negativas_γ/δ</t>
  </si>
  <si>
    <t>doble_negativas_γ/δ_abs</t>
  </si>
  <si>
    <t>Otros_Tregs</t>
  </si>
  <si>
    <t xml:space="preserve">Treg_memoria_efectora </t>
  </si>
  <si>
    <t>Treg_Th1-like</t>
  </si>
  <si>
    <t>Treg_Th2-like</t>
  </si>
  <si>
    <t>Treg_Th17-like</t>
  </si>
  <si>
    <t>Treg_Th22-like</t>
  </si>
  <si>
    <t>Th_reguladoras_foliculares</t>
  </si>
  <si>
    <t>Th_convencionales</t>
  </si>
  <si>
    <t>Th_ convencionales_abs</t>
  </si>
  <si>
    <t xml:space="preserve">Otros_Th_convencionales </t>
  </si>
  <si>
    <t>Th_foliculares</t>
  </si>
  <si>
    <t>Th_foliculares_abs</t>
  </si>
  <si>
    <t>Th_foliculares_otros</t>
  </si>
  <si>
    <t xml:space="preserve">Celulas_NK </t>
  </si>
  <si>
    <t>NK_abs</t>
  </si>
  <si>
    <t>Células_NKT</t>
  </si>
  <si>
    <t>NKT_abs</t>
  </si>
  <si>
    <t>Fecha_inclusion</t>
  </si>
  <si>
    <t>Written_case_1_caso_0_sano_2_Eapreclinico_3_otra_demencia</t>
  </si>
  <si>
    <t>Factor_caso_1_EA</t>
  </si>
  <si>
    <t>p-tau_217</t>
  </si>
  <si>
    <t>b1-42_lcr</t>
  </si>
  <si>
    <t>t-tau_lcr</t>
  </si>
  <si>
    <t>p-tau_181_lcr</t>
  </si>
  <si>
    <t>b1-40_lcr</t>
  </si>
  <si>
    <t>ratiob42-40_lcr</t>
  </si>
  <si>
    <t>ratiottau-b42_lcr</t>
  </si>
  <si>
    <t>nfl_lcr</t>
  </si>
  <si>
    <t>nfl_suero</t>
  </si>
  <si>
    <t>apo_sangre</t>
  </si>
  <si>
    <t>mmse_neuropsico</t>
  </si>
  <si>
    <t>cdr_neuropsico</t>
  </si>
  <si>
    <t>CD4_naive_abs</t>
  </si>
  <si>
    <t>CD4+_Mem_central</t>
  </si>
  <si>
    <t>CD4+_memoria_central_abs</t>
  </si>
  <si>
    <t>CD4+_Mem_efectora</t>
  </si>
  <si>
    <t>CD4+_mem_efectora_abs</t>
  </si>
  <si>
    <t>CD4+_efectora_terminal_abs</t>
  </si>
  <si>
    <t>CD8+_Mem_central</t>
  </si>
  <si>
    <t>CD8+_mem_central_abs</t>
  </si>
  <si>
    <t>CD8+_Mem_efectora_ CD27+dim</t>
  </si>
  <si>
    <t>CD8+_Efectora_terminal</t>
  </si>
  <si>
    <t>CD8+_efectora_terminal_abs</t>
  </si>
  <si>
    <t>Aneurisma aorta torácica asceente, SAOS</t>
  </si>
  <si>
    <t>Fernao</t>
  </si>
  <si>
    <t>Caida</t>
  </si>
  <si>
    <t>Diagnostico alzheimer aunque en nota se iica amiloidosis</t>
  </si>
  <si>
    <t>Deterioro cognitivo a estudio, según miquel baquero tau y NFL altos pueden iicar enfermedad neurodegenerativa</t>
  </si>
  <si>
    <t>Parkinsonismo plus (peiente DATSCAN)</t>
  </si>
  <si>
    <t>Turbi Ares</t>
  </si>
  <si>
    <t>Deterioro cognitivo asociado a sírome depresivo</t>
  </si>
  <si>
    <t>Quejas cognitivas posiblemente secuarias a depresión (tiene fibromialgia)</t>
  </si>
  <si>
    <t>Cáncer de mama en 2010 (QT neoadyuvante ACx4 ciclos seguido de docetaxel, trastuzumab y trastuzumab x 14, con mastectomía) y AHORA (2026) DIAGNOSTICADA DE CÁNCER DE EOMETRIO</t>
  </si>
  <si>
    <t>OJO! Enfermedad autoinmune no específica (al inicio miopatía inflamatoria pero con manifestaciones clínicas de esclerosis sistémica) y enfermedad pulmonar intersticial en tratamiento con tacrolimus, MMF y nietanib</t>
  </si>
  <si>
    <t>Hernaez Pedro</t>
  </si>
  <si>
    <t>Deterior cognitivo secuario posiblemente ansiosodepresivo</t>
  </si>
  <si>
    <t>Posible DCL y también secuaria (T bipolar con síntomas psicóticos, recibió TEC)</t>
  </si>
  <si>
    <t>case_1_caso_0_sano_2_Eapr0eclinico_3_otra_demencia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</si>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</sst>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ptos"/>
    </font>
    <font>
      <sz val="10"/>
      <name val="Aptos"/>
      <family val="2"/>
    </font>
    <font>
      <b/>
      <i/>
      <sz val="10"/>
      <color theme="1"/>
      <name val="Aptos"/>
    </font>
    <font>
      <sz val="10"/>
      <color theme="1"/>
      <name val="Aptos"/>
    </font>
    <font>
      <sz val="12"/>
      <color theme="1"/>
      <name val="Abucasi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  <color rgb="FFCC99FF"/>
      <color rgb="FF33CCFF"/>
      <color rgb="FFFF66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92"/>
  <sheetViews>
    <sheetView tabSelected="1" topLeftCell="DX1" zoomScale="55" zoomScaleNormal="55" workbookViewId="0">
      <pane ySplit="2" topLeftCell="A3" activePane="bottomLeft" state="frozen"/>
      <selection activeCell="A2" sqref="A2"/>
      <selection pane="bottomLeft" activeCell="EN64" sqref="EN64"/>
    </sheetView>
  </sheetViews>
  <sheetFormatPr baseColWidth="10" defaultColWidth="9.109375" defaultRowHeight="13.8"/>
  <cols>
    <col min="1" max="1" width="5.21875" style="20" hidden="1" customWidth="1"/>
    <col min="2" max="2" width="9.109375" style="20" hidden="1" customWidth="1"/>
    <col min="3" max="3" width="16" style="20" customWidth="1"/>
    <col min="4" max="4" width="21.5546875" style="20" customWidth="1"/>
    <col min="5" max="5" width="10.21875" style="20" customWidth="1"/>
    <col min="6" max="6" width="8.44140625" style="20" customWidth="1"/>
    <col min="7" max="7" width="13" style="20" customWidth="1"/>
    <col min="8" max="8" width="12.109375" style="20" customWidth="1"/>
    <col min="9" max="9" width="9.77734375" style="20" customWidth="1"/>
    <col min="10" max="11" width="14.5546875" style="20" customWidth="1"/>
    <col min="12" max="12" width="13.109375" style="20" customWidth="1"/>
    <col min="13" max="13" width="14.44140625" style="20" customWidth="1"/>
    <col min="14" max="14" width="12.88671875" style="20" customWidth="1"/>
    <col min="15" max="15" width="14.21875" style="20" customWidth="1"/>
    <col min="16" max="16" width="13" style="20" customWidth="1"/>
    <col min="17" max="17" width="13.44140625" style="20" customWidth="1"/>
    <col min="18" max="18" width="12.44140625" style="20" customWidth="1"/>
    <col min="19" max="19" width="13.5546875" style="20" customWidth="1"/>
    <col min="20" max="20" width="12.5546875" style="20" customWidth="1"/>
    <col min="21" max="21" width="14.5546875" style="20" customWidth="1"/>
    <col min="22" max="23" width="11.88671875" style="20" customWidth="1"/>
    <col min="24" max="25" width="11.109375" style="20" customWidth="1"/>
    <col min="26" max="26" width="10.88671875" style="20" customWidth="1"/>
    <col min="27" max="27" width="12.21875" style="20" customWidth="1"/>
    <col min="28" max="28" width="13" style="20" customWidth="1"/>
    <col min="29" max="29" width="16.88671875" style="20" customWidth="1"/>
    <col min="30" max="30" width="13.109375" style="20" customWidth="1"/>
    <col min="31" max="31" width="14.21875" style="20" customWidth="1"/>
    <col min="32" max="32" width="12.21875" style="20" customWidth="1"/>
    <col min="33" max="33" width="15.44140625" style="20" customWidth="1"/>
    <col min="34" max="34" width="10.109375" style="20" customWidth="1"/>
    <col min="35" max="35" width="11" style="20" customWidth="1"/>
    <col min="36" max="37" width="9.44140625" style="20" customWidth="1"/>
    <col min="38" max="38" width="9.109375" style="20" customWidth="1"/>
    <col min="39" max="39" width="10.21875" style="20" customWidth="1"/>
    <col min="40" max="40" width="9.109375" style="20" customWidth="1"/>
    <col min="41" max="41" width="11.5546875" style="20" customWidth="1"/>
    <col min="42" max="42" width="9.109375" style="20" customWidth="1"/>
    <col min="43" max="43" width="12.44140625" style="20" customWidth="1"/>
    <col min="44" max="44" width="9.109375" style="20" customWidth="1"/>
    <col min="45" max="45" width="13.109375" style="20" customWidth="1"/>
    <col min="46" max="46" width="8.21875" style="20" customWidth="1"/>
    <col min="47" max="47" width="10.77734375" style="20" customWidth="1"/>
    <col min="48" max="48" width="8.21875" style="20" customWidth="1"/>
    <col min="49" max="49" width="10.77734375" style="20" customWidth="1"/>
    <col min="50" max="50" width="9.109375" style="20" customWidth="1"/>
    <col min="51" max="51" width="11.88671875" style="20" customWidth="1"/>
    <col min="52" max="52" width="11.109375" style="20" customWidth="1"/>
    <col min="53" max="53" width="10.21875" style="20" customWidth="1"/>
    <col min="54" max="54" width="9.109375" style="20" customWidth="1"/>
    <col min="55" max="55" width="12.77734375" style="20" customWidth="1"/>
    <col min="56" max="56" width="9.109375" style="20" customWidth="1"/>
    <col min="57" max="57" width="13.21875" style="20" customWidth="1"/>
    <col min="58" max="58" width="9.109375" style="20" customWidth="1"/>
    <col min="59" max="60" width="10.21875" style="20" customWidth="1"/>
    <col min="61" max="61" width="11.88671875" style="20" customWidth="1"/>
    <col min="62" max="63" width="10.21875" style="20" customWidth="1"/>
    <col min="64" max="65" width="9.109375" style="20" customWidth="1"/>
    <col min="66" max="66" width="11" style="20" customWidth="1"/>
    <col min="67" max="67" width="9.88671875" style="20" customWidth="1"/>
    <col min="68" max="71" width="9.109375" style="20" customWidth="1"/>
    <col min="72" max="72" width="12.21875" style="20" customWidth="1"/>
    <col min="73" max="73" width="15.44140625" style="20" customWidth="1"/>
    <col min="74" max="74" width="14.5546875" style="20" customWidth="1"/>
    <col min="75" max="75" width="15.5546875" style="20" customWidth="1"/>
    <col min="76" max="85" width="9.109375" style="20" customWidth="1"/>
    <col min="86" max="88" width="10.21875" style="20" customWidth="1"/>
    <col min="89" max="89" width="9.109375" style="20" customWidth="1"/>
    <col min="90" max="90" width="10.21875" style="20" customWidth="1"/>
    <col min="91" max="91" width="9.109375" style="20" customWidth="1"/>
    <col min="92" max="92" width="9.88671875" style="20" customWidth="1"/>
    <col min="93" max="93" width="9.109375" style="20" customWidth="1"/>
    <col min="94" max="94" width="11" style="20" customWidth="1"/>
    <col min="95" max="96" width="9.5546875" style="20" customWidth="1"/>
    <col min="97" max="98" width="9.88671875" style="20" customWidth="1"/>
    <col min="99" max="99" width="14.88671875" style="20" customWidth="1"/>
    <col min="100" max="105" width="9.109375" style="20" customWidth="1"/>
    <col min="106" max="106" width="16.109375" style="20" customWidth="1"/>
    <col min="107" max="111" width="9.109375" style="20" customWidth="1"/>
    <col min="112" max="112" width="11" style="20" customWidth="1"/>
    <col min="113" max="117" width="9.109375" style="20" customWidth="1"/>
    <col min="118" max="118" width="10.77734375" style="20" customWidth="1"/>
    <col min="119" max="127" width="9.109375" style="20" customWidth="1"/>
    <col min="128" max="128" width="15.5546875" style="20" customWidth="1"/>
    <col min="129" max="131" width="9.109375" style="20" hidden="1" customWidth="1"/>
    <col min="132" max="132" width="9.109375" style="20" customWidth="1"/>
    <col min="133" max="139" width="9.109375" style="5" customWidth="1"/>
    <col min="140" max="140" width="12.44140625" style="5" customWidth="1"/>
    <col min="141" max="141" width="13.77734375" style="5" customWidth="1"/>
    <col min="142" max="142" width="14.44140625" style="5" customWidth="1"/>
    <col min="143" max="143" width="14.88671875" style="5" customWidth="1"/>
    <col min="144" max="144" width="14.5546875" style="5" customWidth="1"/>
    <col min="145" max="145" width="12.5546875" style="5" customWidth="1"/>
    <col min="146" max="146" width="15.77734375" style="5" customWidth="1"/>
    <col min="147" max="147" width="16.77734375" style="5" customWidth="1"/>
    <col min="148" max="148" width="9.21875" style="5" customWidth="1"/>
    <col min="149" max="149" width="8.88671875" style="5" customWidth="1"/>
    <col min="150" max="150" width="9.109375" style="5" customWidth="1"/>
    <col min="151" max="151" width="19.109375" style="20" customWidth="1"/>
    <col min="152" max="16384" width="9.109375" style="20"/>
  </cols>
  <sheetData>
    <row r="1" spans="1:154" s="12" customFormat="1" ht="81.75" customHeight="1">
      <c r="A1" s="12" t="s">
        <v>0</v>
      </c>
      <c r="B1" s="13" t="s">
        <v>28</v>
      </c>
      <c r="C1" s="12" t="s">
        <v>29</v>
      </c>
      <c r="D1" s="12" t="s">
        <v>30</v>
      </c>
      <c r="E1" s="12" t="s">
        <v>31</v>
      </c>
      <c r="F1" s="12" t="s">
        <v>16</v>
      </c>
      <c r="G1" s="12" t="s">
        <v>1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8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2" t="s">
        <v>328</v>
      </c>
      <c r="W1" s="12" t="s">
        <v>221</v>
      </c>
      <c r="X1" s="12" t="s">
        <v>26</v>
      </c>
      <c r="Y1" s="12" t="s">
        <v>220</v>
      </c>
      <c r="Z1" s="12" t="s">
        <v>27</v>
      </c>
      <c r="AA1" s="12" t="s">
        <v>222</v>
      </c>
      <c r="AB1" s="12" t="s">
        <v>329</v>
      </c>
      <c r="AC1" s="12" t="s">
        <v>223</v>
      </c>
      <c r="AD1" s="12" t="s">
        <v>330</v>
      </c>
      <c r="AE1" s="12" t="s">
        <v>224</v>
      </c>
      <c r="AF1" s="12" t="s">
        <v>331</v>
      </c>
      <c r="AG1" s="12" t="s">
        <v>225</v>
      </c>
      <c r="AH1" s="14" t="s">
        <v>332</v>
      </c>
      <c r="AI1" s="14" t="s">
        <v>233</v>
      </c>
      <c r="AJ1" s="14" t="s">
        <v>333</v>
      </c>
      <c r="AK1" s="14" t="s">
        <v>334</v>
      </c>
      <c r="AL1" s="14" t="s">
        <v>335</v>
      </c>
      <c r="AM1" s="14" t="s">
        <v>382</v>
      </c>
      <c r="AN1" s="14" t="s">
        <v>383</v>
      </c>
      <c r="AO1" s="14" t="s">
        <v>384</v>
      </c>
      <c r="AP1" s="14" t="s">
        <v>385</v>
      </c>
      <c r="AQ1" s="14" t="s">
        <v>386</v>
      </c>
      <c r="AR1" s="14" t="s">
        <v>336</v>
      </c>
      <c r="AS1" s="14" t="s">
        <v>387</v>
      </c>
      <c r="AT1" s="14" t="s">
        <v>337</v>
      </c>
      <c r="AU1" s="14" t="s">
        <v>338</v>
      </c>
      <c r="AV1" s="14" t="s">
        <v>339</v>
      </c>
      <c r="AW1" s="14" t="s">
        <v>340</v>
      </c>
      <c r="AX1" s="14" t="s">
        <v>388</v>
      </c>
      <c r="AY1" s="14" t="s">
        <v>389</v>
      </c>
      <c r="AZ1" s="14" t="s">
        <v>390</v>
      </c>
      <c r="BA1" s="14" t="s">
        <v>341</v>
      </c>
      <c r="BB1" s="14" t="s">
        <v>342</v>
      </c>
      <c r="BC1" s="14" t="s">
        <v>343</v>
      </c>
      <c r="BD1" s="14" t="s">
        <v>391</v>
      </c>
      <c r="BE1" s="14" t="s">
        <v>392</v>
      </c>
      <c r="BF1" s="14" t="s">
        <v>344</v>
      </c>
      <c r="BG1" s="14" t="s">
        <v>345</v>
      </c>
      <c r="BH1" s="14" t="s">
        <v>346</v>
      </c>
      <c r="BI1" s="14" t="s">
        <v>347</v>
      </c>
      <c r="BJ1" s="14" t="s">
        <v>348</v>
      </c>
      <c r="BK1" s="14" t="s">
        <v>349</v>
      </c>
      <c r="BL1" s="14" t="s">
        <v>17</v>
      </c>
      <c r="BM1" s="14" t="s">
        <v>350</v>
      </c>
      <c r="BN1" s="14" t="s">
        <v>240</v>
      </c>
      <c r="BO1" s="14" t="s">
        <v>351</v>
      </c>
      <c r="BP1" s="14" t="s">
        <v>352</v>
      </c>
      <c r="BQ1" s="14" t="s">
        <v>353</v>
      </c>
      <c r="BR1" s="14" t="s">
        <v>354</v>
      </c>
      <c r="BS1" s="14" t="s">
        <v>355</v>
      </c>
      <c r="BT1" s="14" t="s">
        <v>356</v>
      </c>
      <c r="BU1" s="14" t="s">
        <v>357</v>
      </c>
      <c r="BV1" s="14" t="s">
        <v>358</v>
      </c>
      <c r="BW1" s="14" t="s">
        <v>359</v>
      </c>
      <c r="BX1" s="14" t="s">
        <v>18</v>
      </c>
      <c r="BY1" s="14" t="s">
        <v>241</v>
      </c>
      <c r="BZ1" s="14" t="s">
        <v>19</v>
      </c>
      <c r="CA1" s="14" t="s">
        <v>242</v>
      </c>
      <c r="CB1" s="14" t="s">
        <v>20</v>
      </c>
      <c r="CC1" s="14" t="s">
        <v>243</v>
      </c>
      <c r="CD1" s="14" t="s">
        <v>21</v>
      </c>
      <c r="CE1" s="14" t="s">
        <v>244</v>
      </c>
      <c r="CF1" s="14" t="s">
        <v>22</v>
      </c>
      <c r="CG1" s="14" t="s">
        <v>245</v>
      </c>
      <c r="CH1" s="14" t="s">
        <v>360</v>
      </c>
      <c r="CI1" s="14" t="s">
        <v>361</v>
      </c>
      <c r="CJ1" s="14" t="s">
        <v>362</v>
      </c>
      <c r="CK1" s="14" t="s">
        <v>23</v>
      </c>
      <c r="CL1" s="14" t="s">
        <v>248</v>
      </c>
      <c r="CM1" s="14" t="s">
        <v>24</v>
      </c>
      <c r="CN1" s="14" t="s">
        <v>246</v>
      </c>
      <c r="CO1" s="14" t="s">
        <v>25</v>
      </c>
      <c r="CP1" s="14" t="s">
        <v>247</v>
      </c>
      <c r="CQ1" s="15" t="s">
        <v>363</v>
      </c>
      <c r="CR1" s="15" t="s">
        <v>364</v>
      </c>
      <c r="CS1" s="15" t="s">
        <v>365</v>
      </c>
      <c r="CT1" s="15" t="s">
        <v>366</v>
      </c>
      <c r="CU1" s="16" t="s">
        <v>367</v>
      </c>
      <c r="CV1" s="16" t="s">
        <v>68</v>
      </c>
      <c r="CW1" s="16" t="s">
        <v>69</v>
      </c>
      <c r="CX1" s="16" t="s">
        <v>407</v>
      </c>
      <c r="CY1" s="16" t="s">
        <v>408</v>
      </c>
      <c r="CZ1" s="16" t="s">
        <v>368</v>
      </c>
      <c r="DA1" s="16" t="s">
        <v>369</v>
      </c>
      <c r="DB1" s="16" t="s">
        <v>70</v>
      </c>
      <c r="DC1" s="16" t="s">
        <v>370</v>
      </c>
      <c r="DD1" s="16" t="s">
        <v>371</v>
      </c>
      <c r="DE1" s="16" t="s">
        <v>372</v>
      </c>
      <c r="DF1" s="16" t="s">
        <v>373</v>
      </c>
      <c r="DG1" s="16" t="s">
        <v>374</v>
      </c>
      <c r="DH1" s="16" t="s">
        <v>375</v>
      </c>
      <c r="DI1" s="16" t="s">
        <v>376</v>
      </c>
      <c r="DJ1" s="16" t="s">
        <v>377</v>
      </c>
      <c r="DK1" s="16" t="s">
        <v>378</v>
      </c>
      <c r="DL1" s="16" t="s">
        <v>379</v>
      </c>
      <c r="DM1" s="16" t="s">
        <v>380</v>
      </c>
      <c r="DN1" s="16" t="s">
        <v>381</v>
      </c>
      <c r="DO1" s="16" t="s">
        <v>71</v>
      </c>
      <c r="DP1" s="16" t="s">
        <v>72</v>
      </c>
      <c r="DQ1" s="16" t="s">
        <v>73</v>
      </c>
      <c r="DR1" s="16" t="s">
        <v>74</v>
      </c>
      <c r="DS1" s="16" t="s">
        <v>75</v>
      </c>
      <c r="DT1" s="16" t="s">
        <v>76</v>
      </c>
      <c r="DU1" s="16" t="s">
        <v>77</v>
      </c>
      <c r="DV1" s="16" t="s">
        <v>78</v>
      </c>
      <c r="DW1" s="16" t="s">
        <v>79</v>
      </c>
      <c r="DX1" s="16" t="s">
        <v>80</v>
      </c>
      <c r="DY1" s="16" t="s">
        <v>81</v>
      </c>
      <c r="DZ1" s="16" t="s">
        <v>82</v>
      </c>
      <c r="EA1" s="21" t="s">
        <v>83</v>
      </c>
      <c r="EB1" s="45" t="s">
        <v>259</v>
      </c>
      <c r="EC1" s="44" t="s">
        <v>249</v>
      </c>
      <c r="ED1" s="44" t="s">
        <v>250</v>
      </c>
      <c r="EE1" s="44" t="s">
        <v>84</v>
      </c>
      <c r="EF1" s="44" t="s">
        <v>85</v>
      </c>
      <c r="EG1" s="44" t="s">
        <v>86</v>
      </c>
      <c r="EH1" s="44" t="s">
        <v>252</v>
      </c>
      <c r="EI1" s="44" t="s">
        <v>251</v>
      </c>
      <c r="EJ1" s="44" t="s">
        <v>87</v>
      </c>
      <c r="EK1" s="12" t="s">
        <v>88</v>
      </c>
      <c r="EL1" s="12" t="s">
        <v>89</v>
      </c>
      <c r="EM1" s="12" t="s">
        <v>90</v>
      </c>
      <c r="EN1" s="12" t="s">
        <v>91</v>
      </c>
      <c r="EO1" s="44" t="s">
        <v>253</v>
      </c>
      <c r="EP1" s="44" t="s">
        <v>254</v>
      </c>
      <c r="EQ1" s="44" t="s">
        <v>255</v>
      </c>
      <c r="ER1" s="44" t="s">
        <v>256</v>
      </c>
      <c r="ES1" s="44" t="s">
        <v>257</v>
      </c>
      <c r="ET1" s="44" t="s">
        <v>258</v>
      </c>
      <c r="EU1" s="12" t="s">
        <v>92</v>
      </c>
      <c r="EV1" s="6"/>
      <c r="EW1" s="6"/>
      <c r="EX1" s="6"/>
    </row>
    <row r="2" spans="1:154" s="1" customFormat="1" ht="14.4">
      <c r="A2" s="22">
        <v>12</v>
      </c>
      <c r="B2" s="22">
        <v>7039377</v>
      </c>
      <c r="C2" s="11" t="s">
        <v>32</v>
      </c>
      <c r="D2" s="23" t="s">
        <v>33</v>
      </c>
      <c r="E2" s="11">
        <v>3089010</v>
      </c>
      <c r="F2" s="22">
        <v>1006781</v>
      </c>
      <c r="G2" s="22">
        <v>3.84</v>
      </c>
      <c r="H2" s="22">
        <v>35.700000000000003</v>
      </c>
      <c r="I2" s="22">
        <v>11.7</v>
      </c>
      <c r="J2" s="22">
        <v>229</v>
      </c>
      <c r="K2" s="22">
        <v>3.44</v>
      </c>
      <c r="L2" s="22">
        <v>60.59</v>
      </c>
      <c r="M2" s="22">
        <v>0.63</v>
      </c>
      <c r="N2" s="22">
        <v>10.99</v>
      </c>
      <c r="O2" s="22">
        <v>0.13</v>
      </c>
      <c r="P2" s="22">
        <v>2.19</v>
      </c>
      <c r="Q2" s="22">
        <v>7.0000000000000007E-2</v>
      </c>
      <c r="R2" s="22">
        <v>1.21</v>
      </c>
      <c r="S2" s="22">
        <v>1.42</v>
      </c>
      <c r="T2" s="22">
        <v>25.02</v>
      </c>
      <c r="U2" s="22">
        <v>1580</v>
      </c>
      <c r="V2" s="22">
        <v>5.4</v>
      </c>
      <c r="W2" s="24">
        <f>(V2*U2)/100</f>
        <v>85.32</v>
      </c>
      <c r="X2" s="22">
        <v>62.2</v>
      </c>
      <c r="Y2" s="24">
        <f>(X2*U2)/100</f>
        <v>982.76</v>
      </c>
      <c r="Z2" s="22">
        <v>37.6</v>
      </c>
      <c r="AA2" s="24">
        <f>(Z2*U2)/100</f>
        <v>594.08000000000004</v>
      </c>
      <c r="AB2" s="22">
        <v>12.2</v>
      </c>
      <c r="AC2" s="24">
        <f>(AB2*U2)/100</f>
        <v>192.76</v>
      </c>
      <c r="AD2" s="22">
        <v>25.4</v>
      </c>
      <c r="AE2" s="25">
        <f>(AD2*U2)/100</f>
        <v>401.32</v>
      </c>
      <c r="AF2" s="26"/>
      <c r="AG2" s="26"/>
      <c r="AH2" s="22">
        <v>74.599999999999994</v>
      </c>
      <c r="AI2" s="24">
        <f>(AH2*U2)/100</f>
        <v>1178.6799999999998</v>
      </c>
      <c r="AJ2" s="22">
        <v>58</v>
      </c>
      <c r="AK2" s="24">
        <f>(AJ2*AI2)/100</f>
        <v>683.63439999999991</v>
      </c>
      <c r="AL2" s="22">
        <v>21.3</v>
      </c>
      <c r="AM2" s="24">
        <f>(AL2*AK2)/100</f>
        <v>145.61412719999998</v>
      </c>
      <c r="AN2" s="22">
        <v>54.7</v>
      </c>
      <c r="AO2" s="24">
        <f>(AN2*AK2)/100</f>
        <v>373.94801679999995</v>
      </c>
      <c r="AP2" s="22">
        <v>14.7</v>
      </c>
      <c r="AQ2" s="24">
        <f>(AP2*AK2)/100</f>
        <v>100.49425679999999</v>
      </c>
      <c r="AR2" s="22">
        <v>8.5</v>
      </c>
      <c r="AS2" s="24">
        <f>(AR2*AK2)/100</f>
        <v>58.108923999999988</v>
      </c>
      <c r="AT2" s="22">
        <v>39.4</v>
      </c>
      <c r="AU2" s="24">
        <f>(AT2*AI2)/100</f>
        <v>464.3999199999999</v>
      </c>
      <c r="AV2" s="22">
        <v>7.7</v>
      </c>
      <c r="AW2" s="24">
        <f>(AV2*AU2)/100</f>
        <v>35.758793839999996</v>
      </c>
      <c r="AX2" s="22">
        <v>36</v>
      </c>
      <c r="AY2" s="24">
        <f>(AX2*AU2)/100</f>
        <v>167.18397119999997</v>
      </c>
      <c r="AZ2" s="22">
        <v>3</v>
      </c>
      <c r="BA2" s="24">
        <f>(AZ2*AU2)/100</f>
        <v>13.931997599999997</v>
      </c>
      <c r="BB2" s="22">
        <v>13.1</v>
      </c>
      <c r="BC2" s="24">
        <f>(BB2*AU2)/100</f>
        <v>60.836389519999983</v>
      </c>
      <c r="BD2" s="22">
        <v>40.1</v>
      </c>
      <c r="BE2" s="24">
        <f>(BD2*AU2)/100</f>
        <v>186.22436791999996</v>
      </c>
      <c r="BF2" s="22">
        <v>0.63</v>
      </c>
      <c r="BG2" s="24">
        <f>(BF2*AI2)/100</f>
        <v>7.4256839999999986</v>
      </c>
      <c r="BH2" s="22">
        <v>0.75</v>
      </c>
      <c r="BI2" s="24">
        <f>(BH2*AI2)/100</f>
        <v>8.8400999999999996</v>
      </c>
      <c r="BJ2" s="22">
        <v>1.2</v>
      </c>
      <c r="BK2" s="24">
        <f>(BJ2*AI2)/100</f>
        <v>14.144159999999998</v>
      </c>
      <c r="BL2" s="22">
        <v>11.6</v>
      </c>
      <c r="BM2" s="22"/>
      <c r="BN2" s="24">
        <f>(BL2*AK2)/100</f>
        <v>79.301590399999981</v>
      </c>
      <c r="BO2" s="22">
        <v>56.3</v>
      </c>
      <c r="BP2" s="22">
        <v>14.2</v>
      </c>
      <c r="BQ2" s="22">
        <v>19.8</v>
      </c>
      <c r="BR2" s="22">
        <v>30.1</v>
      </c>
      <c r="BS2" s="22">
        <v>23.2</v>
      </c>
      <c r="BT2" s="22">
        <v>10.5</v>
      </c>
      <c r="BU2" s="22">
        <v>46.5</v>
      </c>
      <c r="BV2" s="24">
        <f>(BU2*AK2)*100</f>
        <v>3178899.9599999995</v>
      </c>
      <c r="BW2" s="22">
        <v>27</v>
      </c>
      <c r="BX2" s="22">
        <v>20.6</v>
      </c>
      <c r="BY2" s="24">
        <f>(BX2*BV2)/100</f>
        <v>654853.39175999991</v>
      </c>
      <c r="BZ2" s="22">
        <v>22.3</v>
      </c>
      <c r="CA2" s="24">
        <f>(BZ2*BV2)/100</f>
        <v>708894.6910799999</v>
      </c>
      <c r="CB2" s="22">
        <v>12.3</v>
      </c>
      <c r="CC2" s="24">
        <f>(CB2*BV2)/100</f>
        <v>391004.69507999992</v>
      </c>
      <c r="CD2" s="22">
        <v>13.3</v>
      </c>
      <c r="CE2" s="24">
        <f>(CD2*BV2)/100</f>
        <v>422793.69467999996</v>
      </c>
      <c r="CF2" s="22">
        <v>4.5</v>
      </c>
      <c r="CG2" s="24">
        <f>(CF2*BV2)/100</f>
        <v>143050.49819999997</v>
      </c>
      <c r="CH2" s="22">
        <v>9.1999999999999993</v>
      </c>
      <c r="CI2" s="24">
        <f>(CH2*AK2)/100</f>
        <v>62.894364799999984</v>
      </c>
      <c r="CJ2" s="22">
        <v>11</v>
      </c>
      <c r="CK2" s="22">
        <v>28.3</v>
      </c>
      <c r="CL2" s="24">
        <f>(CK2*CI2)*100</f>
        <v>177991.05238399995</v>
      </c>
      <c r="CM2" s="22">
        <v>20.6</v>
      </c>
      <c r="CN2" s="24">
        <f>(CM2*CI2)/100</f>
        <v>12.956239148799998</v>
      </c>
      <c r="CO2" s="22">
        <v>40.1</v>
      </c>
      <c r="CP2" s="24">
        <f>(CO2*CI2)/100</f>
        <v>25.220640284799991</v>
      </c>
      <c r="CQ2" s="22">
        <v>12.4</v>
      </c>
      <c r="CR2" s="24">
        <f>(CQ2*U2)/100</f>
        <v>195.92</v>
      </c>
      <c r="CS2" s="22">
        <v>0</v>
      </c>
      <c r="CT2" s="22">
        <f>(CS2*U2)/100</f>
        <v>0</v>
      </c>
      <c r="CU2" s="27">
        <v>45835</v>
      </c>
      <c r="CV2" s="11">
        <v>1</v>
      </c>
      <c r="CW2" s="11">
        <v>69</v>
      </c>
      <c r="CX2" s="11">
        <v>2</v>
      </c>
      <c r="CY2" s="11">
        <v>1</v>
      </c>
      <c r="CZ2" s="11" t="s">
        <v>93</v>
      </c>
      <c r="DA2" s="11">
        <v>1</v>
      </c>
      <c r="DB2" s="11" t="s">
        <v>94</v>
      </c>
      <c r="DC2" s="11">
        <v>0.39</v>
      </c>
      <c r="DD2" s="11">
        <v>830</v>
      </c>
      <c r="DE2" s="11">
        <v>677</v>
      </c>
      <c r="DF2" s="11">
        <v>93</v>
      </c>
      <c r="DG2" s="11">
        <v>15630</v>
      </c>
      <c r="DH2" s="11">
        <v>5.2999999999999999E-2</v>
      </c>
      <c r="DI2" s="11">
        <v>0.82</v>
      </c>
      <c r="DJ2" s="11">
        <v>970</v>
      </c>
      <c r="DK2" s="11">
        <v>27.96</v>
      </c>
      <c r="DL2" s="11" t="s">
        <v>95</v>
      </c>
      <c r="DM2" s="11">
        <v>26</v>
      </c>
      <c r="DN2" s="11">
        <v>3.5</v>
      </c>
      <c r="DO2" s="11">
        <v>0.5</v>
      </c>
      <c r="DP2" s="11">
        <v>1</v>
      </c>
      <c r="DQ2" s="11">
        <v>1</v>
      </c>
      <c r="DR2" s="11">
        <v>0.5</v>
      </c>
      <c r="DS2" s="11">
        <v>0.5</v>
      </c>
      <c r="DT2" s="11">
        <v>0.5</v>
      </c>
      <c r="DU2" s="11">
        <v>0</v>
      </c>
      <c r="DV2" s="11">
        <v>333</v>
      </c>
      <c r="DW2" s="11">
        <v>57</v>
      </c>
      <c r="DX2" s="11">
        <v>1</v>
      </c>
      <c r="DZ2" s="27"/>
      <c r="EA2" s="11"/>
      <c r="EB2" s="11">
        <v>0</v>
      </c>
      <c r="EC2" s="8">
        <v>0</v>
      </c>
      <c r="ED2" s="8">
        <v>1</v>
      </c>
      <c r="EE2" s="8">
        <v>0</v>
      </c>
      <c r="EF2" s="8">
        <v>0</v>
      </c>
      <c r="EG2" s="8">
        <v>0</v>
      </c>
      <c r="EH2" s="8">
        <v>1</v>
      </c>
      <c r="EI2" s="8">
        <v>0</v>
      </c>
      <c r="EJ2" s="8">
        <v>0</v>
      </c>
      <c r="EK2" s="8">
        <v>1</v>
      </c>
      <c r="EL2" s="8">
        <v>1</v>
      </c>
      <c r="EM2" s="8">
        <v>1</v>
      </c>
      <c r="EN2" s="8">
        <v>2</v>
      </c>
      <c r="EO2" s="8">
        <v>1</v>
      </c>
      <c r="EP2" s="8">
        <v>1</v>
      </c>
      <c r="EQ2" s="8">
        <v>0</v>
      </c>
      <c r="ER2" s="8">
        <v>0</v>
      </c>
      <c r="ES2" s="8">
        <v>0</v>
      </c>
      <c r="ET2" s="8">
        <v>0</v>
      </c>
      <c r="EU2" s="11"/>
      <c r="EV2" s="2"/>
      <c r="EW2" s="2"/>
      <c r="EX2" s="2"/>
    </row>
    <row r="3" spans="1:154" s="5" customFormat="1" ht="15.75" customHeight="1">
      <c r="A3" s="12">
        <v>62</v>
      </c>
      <c r="B3" s="12">
        <v>7041629</v>
      </c>
      <c r="C3" s="12" t="s">
        <v>34</v>
      </c>
      <c r="D3" s="12" t="s">
        <v>35</v>
      </c>
      <c r="E3" s="12">
        <v>3011791</v>
      </c>
      <c r="F3" s="12">
        <v>1022421</v>
      </c>
      <c r="G3" s="12">
        <v>2.65</v>
      </c>
      <c r="H3" s="12">
        <v>28.1</v>
      </c>
      <c r="I3" s="12">
        <v>9.8000000000000007</v>
      </c>
      <c r="J3" s="12">
        <v>89</v>
      </c>
      <c r="K3" s="12">
        <v>2.16</v>
      </c>
      <c r="L3" s="12">
        <v>74.88</v>
      </c>
      <c r="M3" s="12">
        <v>0.28999999999999998</v>
      </c>
      <c r="N3" s="12">
        <v>9.89</v>
      </c>
      <c r="O3" s="12">
        <v>0.12</v>
      </c>
      <c r="P3" s="12">
        <v>4.2</v>
      </c>
      <c r="Q3" s="12">
        <v>0.01</v>
      </c>
      <c r="R3" s="12">
        <v>0.5</v>
      </c>
      <c r="S3" s="12">
        <v>0.3</v>
      </c>
      <c r="T3" s="12">
        <v>10.53</v>
      </c>
      <c r="U3" s="12">
        <v>340</v>
      </c>
      <c r="V3" s="12">
        <v>5.6</v>
      </c>
      <c r="W3" s="28">
        <f t="shared" ref="W3:W65" si="0">(V3*U3)/100</f>
        <v>19.04</v>
      </c>
      <c r="X3" s="12">
        <v>92.1</v>
      </c>
      <c r="Y3" s="28">
        <f t="shared" ref="Y3:Y65" si="1">(X3*U3)/100</f>
        <v>313.14</v>
      </c>
      <c r="Z3" s="12">
        <v>7.9</v>
      </c>
      <c r="AA3" s="28">
        <f t="shared" ref="AA3:AA65" si="2">(Z3*U3)/100</f>
        <v>26.86</v>
      </c>
      <c r="AB3" s="12">
        <v>1.7</v>
      </c>
      <c r="AC3" s="28">
        <f t="shared" ref="AC3:AC65" si="3">(AB3*U3)/100</f>
        <v>5.78</v>
      </c>
      <c r="AD3" s="12">
        <v>5.9</v>
      </c>
      <c r="AE3" s="29">
        <f t="shared" ref="AE3:AE65" si="4">(AD3*U3)/100</f>
        <v>20.060000000000002</v>
      </c>
      <c r="AF3" s="30">
        <v>0.34</v>
      </c>
      <c r="AG3" s="30">
        <f>(AF3*U3)/100</f>
        <v>1.1560000000000001</v>
      </c>
      <c r="AH3" s="12">
        <v>75.599999999999994</v>
      </c>
      <c r="AI3" s="28">
        <f>(AH3*U3)/100</f>
        <v>257.03999999999996</v>
      </c>
      <c r="AJ3" s="12">
        <v>59</v>
      </c>
      <c r="AK3" s="28">
        <f>(AJ3*AI3)/100</f>
        <v>151.65359999999998</v>
      </c>
      <c r="AL3" s="12">
        <v>22.3</v>
      </c>
      <c r="AM3" s="28">
        <f>(AL3*AK3)/100</f>
        <v>33.818752799999999</v>
      </c>
      <c r="AN3" s="12">
        <v>55.7</v>
      </c>
      <c r="AO3" s="28">
        <f>(AN3*AK3)/100</f>
        <v>84.471055199999995</v>
      </c>
      <c r="AP3" s="12">
        <v>15.7</v>
      </c>
      <c r="AQ3" s="28">
        <f>(AP3*AK3)/100</f>
        <v>23.8096152</v>
      </c>
      <c r="AR3" s="12">
        <v>9.5</v>
      </c>
      <c r="AS3" s="28">
        <f>(AR3*AK3)/100</f>
        <v>14.407091999999999</v>
      </c>
      <c r="AT3" s="12">
        <v>40.4</v>
      </c>
      <c r="AU3" s="28">
        <f>(AT3*AI3)/100</f>
        <v>103.84415999999997</v>
      </c>
      <c r="AV3" s="12">
        <v>8.6999999999999993</v>
      </c>
      <c r="AW3" s="28">
        <f>(AV3*AU3)/100</f>
        <v>9.0344419199999972</v>
      </c>
      <c r="AX3" s="12">
        <v>37</v>
      </c>
      <c r="AY3" s="28">
        <f>(AX3*AU3)/100</f>
        <v>38.422339199999989</v>
      </c>
      <c r="AZ3" s="12">
        <v>4</v>
      </c>
      <c r="BA3" s="28">
        <f>(AZ3*AU3)/100</f>
        <v>4.1537663999999985</v>
      </c>
      <c r="BB3" s="12">
        <v>14.1</v>
      </c>
      <c r="BC3" s="28">
        <f>(BB3*AU3)/100</f>
        <v>14.642026559999998</v>
      </c>
      <c r="BD3" s="12">
        <v>41.1</v>
      </c>
      <c r="BE3" s="28">
        <f>(BD3*AU3)/100</f>
        <v>42.679949759999992</v>
      </c>
      <c r="BF3" s="12">
        <v>1.63</v>
      </c>
      <c r="BG3" s="28">
        <f>(BF3*AI3)/100</f>
        <v>4.1897519999999995</v>
      </c>
      <c r="BH3" s="12">
        <v>1.75</v>
      </c>
      <c r="BI3" s="28">
        <f>(BH3*AI3)/100</f>
        <v>4.4981999999999998</v>
      </c>
      <c r="BJ3" s="12">
        <v>2.2000000000000002</v>
      </c>
      <c r="BK3" s="28">
        <f>(BJ3*AI3)/100</f>
        <v>5.6548799999999995</v>
      </c>
      <c r="BL3" s="12">
        <v>7.9</v>
      </c>
      <c r="BM3" s="12"/>
      <c r="BN3" s="28">
        <f>(BL3*AK3)/100</f>
        <v>11.9806344</v>
      </c>
      <c r="BO3" s="12">
        <v>64</v>
      </c>
      <c r="BP3" s="12"/>
      <c r="BQ3" s="12"/>
      <c r="BR3" s="12"/>
      <c r="BS3" s="12"/>
      <c r="BT3" s="12">
        <v>16.5</v>
      </c>
      <c r="BU3" s="12">
        <v>68.099999999999994</v>
      </c>
      <c r="BV3" s="28">
        <f>(BU3*AK3)*100</f>
        <v>1032761.0159999998</v>
      </c>
      <c r="BW3" s="12"/>
      <c r="BX3" s="12">
        <v>72.8</v>
      </c>
      <c r="BY3" s="28">
        <f>(BX3*BV3)/100</f>
        <v>751850.0196479999</v>
      </c>
      <c r="BZ3" s="12">
        <v>9.1999999999999993</v>
      </c>
      <c r="CA3" s="28">
        <f>(BZ3*BV3)/100</f>
        <v>95014.013471999962</v>
      </c>
      <c r="CB3" s="12">
        <v>4.2</v>
      </c>
      <c r="CC3" s="28">
        <f>(CB3*BV3)/100</f>
        <v>43375.962671999994</v>
      </c>
      <c r="CD3" s="12">
        <v>10.9</v>
      </c>
      <c r="CE3" s="28">
        <f>(CD3*BV3)/100</f>
        <v>112570.95074399999</v>
      </c>
      <c r="CF3" s="12">
        <v>2.9</v>
      </c>
      <c r="CG3" s="28">
        <f>(CF3*BV3)/100</f>
        <v>29950.069463999993</v>
      </c>
      <c r="CH3" s="12">
        <v>9.1</v>
      </c>
      <c r="CI3" s="28">
        <f>(CH3*AK3)/100</f>
        <v>13.800477599999997</v>
      </c>
      <c r="CJ3" s="12">
        <v>19.5</v>
      </c>
      <c r="CK3" s="12">
        <v>26</v>
      </c>
      <c r="CL3" s="28">
        <f>(CK3*CI3)*100</f>
        <v>35881.241759999997</v>
      </c>
      <c r="CM3" s="12">
        <v>10.9</v>
      </c>
      <c r="CN3" s="28">
        <f>(CM3*CI3)/100</f>
        <v>1.5042520583999996</v>
      </c>
      <c r="CO3" s="12">
        <v>43.6</v>
      </c>
      <c r="CP3" s="28">
        <f>(CO3*CI3)/100</f>
        <v>6.0170082335999986</v>
      </c>
      <c r="CQ3" s="12">
        <v>39.200000000000003</v>
      </c>
      <c r="CR3" s="28">
        <f>(CQ3*U3)/100</f>
        <v>133.28000000000003</v>
      </c>
      <c r="CS3" s="12">
        <v>0</v>
      </c>
      <c r="CT3" s="12">
        <v>0</v>
      </c>
      <c r="CU3" s="27">
        <v>45960</v>
      </c>
      <c r="CV3" s="11">
        <v>0</v>
      </c>
      <c r="CW3" s="11">
        <v>66</v>
      </c>
      <c r="CX3" s="11">
        <v>3</v>
      </c>
      <c r="CY3" s="11">
        <v>2</v>
      </c>
      <c r="CZ3" s="11" t="s">
        <v>283</v>
      </c>
      <c r="DA3" s="11">
        <v>0</v>
      </c>
      <c r="DB3" s="11" t="s">
        <v>260</v>
      </c>
      <c r="DC3" s="11"/>
      <c r="DD3" s="11">
        <v>1351</v>
      </c>
      <c r="DE3" s="11">
        <v>275</v>
      </c>
      <c r="DF3" s="11">
        <v>36</v>
      </c>
      <c r="DG3" s="11">
        <v>12199</v>
      </c>
      <c r="DH3" s="11">
        <v>0.111</v>
      </c>
      <c r="DI3" s="11">
        <v>0.2</v>
      </c>
      <c r="DJ3" s="11">
        <v>475</v>
      </c>
      <c r="DK3" s="11"/>
      <c r="DL3" s="11" t="s">
        <v>96</v>
      </c>
      <c r="DM3" s="11">
        <v>21</v>
      </c>
      <c r="DN3" s="11">
        <v>6</v>
      </c>
      <c r="DO3" s="11">
        <v>1</v>
      </c>
      <c r="DP3" s="11">
        <v>1</v>
      </c>
      <c r="DQ3" s="11">
        <v>1</v>
      </c>
      <c r="DR3" s="11">
        <v>1</v>
      </c>
      <c r="DS3" s="11">
        <v>1</v>
      </c>
      <c r="DT3" s="11">
        <v>1</v>
      </c>
      <c r="DU3" s="11">
        <v>1</v>
      </c>
      <c r="DV3" s="11">
        <v>371</v>
      </c>
      <c r="DW3" s="11">
        <v>67</v>
      </c>
      <c r="DX3" s="11"/>
      <c r="DY3" s="11"/>
      <c r="DZ3" s="11"/>
      <c r="EA3" s="11"/>
      <c r="EB3" s="11">
        <v>1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1</v>
      </c>
      <c r="EJ3" s="6">
        <v>0</v>
      </c>
      <c r="EK3" s="6">
        <v>1</v>
      </c>
      <c r="EL3" s="6">
        <v>1</v>
      </c>
      <c r="EM3" s="6">
        <v>1</v>
      </c>
      <c r="EN3" s="6">
        <v>1</v>
      </c>
      <c r="EO3" s="6">
        <v>0</v>
      </c>
      <c r="EP3" s="6">
        <v>0</v>
      </c>
      <c r="EQ3" s="6">
        <v>1</v>
      </c>
      <c r="ER3" s="6">
        <v>0</v>
      </c>
      <c r="ES3" s="6">
        <v>0</v>
      </c>
      <c r="ET3" s="6">
        <v>0</v>
      </c>
      <c r="EU3" s="9" t="s">
        <v>261</v>
      </c>
      <c r="EV3" s="4"/>
      <c r="EW3" s="4"/>
      <c r="EX3" s="4"/>
    </row>
    <row r="4" spans="1:154" s="5" customFormat="1" ht="15.75" customHeight="1">
      <c r="A4" s="12">
        <v>61</v>
      </c>
      <c r="B4" s="12">
        <v>7041628</v>
      </c>
      <c r="C4" s="12" t="s">
        <v>36</v>
      </c>
      <c r="D4" s="12" t="s">
        <v>37</v>
      </c>
      <c r="E4" s="12">
        <v>2932617</v>
      </c>
      <c r="F4" s="12">
        <v>1112092</v>
      </c>
      <c r="G4" s="12">
        <v>4.75</v>
      </c>
      <c r="H4" s="12">
        <v>44.6</v>
      </c>
      <c r="I4" s="12">
        <v>15</v>
      </c>
      <c r="J4" s="12">
        <v>144</v>
      </c>
      <c r="K4" s="12">
        <v>2.69</v>
      </c>
      <c r="L4" s="12">
        <v>58.35</v>
      </c>
      <c r="M4" s="12">
        <v>0.39</v>
      </c>
      <c r="N4" s="12">
        <v>8.44</v>
      </c>
      <c r="O4" s="12">
        <v>0.15</v>
      </c>
      <c r="P4" s="12">
        <v>3.2</v>
      </c>
      <c r="Q4" s="12">
        <v>0.05</v>
      </c>
      <c r="R4" s="12">
        <v>1.1599999999999999</v>
      </c>
      <c r="S4" s="12">
        <v>1.33</v>
      </c>
      <c r="T4" s="12">
        <v>28.85</v>
      </c>
      <c r="U4" s="12">
        <v>1569</v>
      </c>
      <c r="V4" s="12">
        <v>9.6</v>
      </c>
      <c r="W4" s="28">
        <f t="shared" si="0"/>
        <v>150.624</v>
      </c>
      <c r="X4" s="12">
        <v>83.5</v>
      </c>
      <c r="Y4" s="28">
        <f t="shared" si="1"/>
        <v>1310.115</v>
      </c>
      <c r="Z4" s="12">
        <v>16.100000000000001</v>
      </c>
      <c r="AA4" s="28">
        <f t="shared" si="2"/>
        <v>252.60900000000001</v>
      </c>
      <c r="AB4" s="12">
        <v>7.7</v>
      </c>
      <c r="AC4" s="28">
        <f t="shared" si="3"/>
        <v>120.81300000000002</v>
      </c>
      <c r="AD4" s="12">
        <v>7.7</v>
      </c>
      <c r="AE4" s="29">
        <f t="shared" si="4"/>
        <v>120.81300000000002</v>
      </c>
      <c r="AF4" s="30">
        <v>0.69</v>
      </c>
      <c r="AG4" s="29">
        <f t="shared" ref="AG4:AG65" si="5">(AF4*U4)/100</f>
        <v>10.826099999999999</v>
      </c>
      <c r="AH4" s="30">
        <v>72.099999999999994</v>
      </c>
      <c r="AI4" s="28">
        <f t="shared" ref="AI4:AI65" si="6">(AH4*U4)/100</f>
        <v>1131.249</v>
      </c>
      <c r="AJ4" s="30">
        <v>59.9</v>
      </c>
      <c r="AK4" s="28">
        <f t="shared" ref="AK4:AK65" si="7">(AJ4*AI4)/100</f>
        <v>677.61815100000013</v>
      </c>
      <c r="AL4" s="12">
        <v>46.4</v>
      </c>
      <c r="AM4" s="28">
        <f t="shared" ref="AM4:AM65" si="8">(AL4*AK4)/100</f>
        <v>314.41482206400002</v>
      </c>
      <c r="AN4" s="12">
        <v>45.7</v>
      </c>
      <c r="AO4" s="28">
        <f t="shared" ref="AO4:AO65" si="9">(AN4*AK4)/100</f>
        <v>309.67149500700009</v>
      </c>
      <c r="AP4" s="12">
        <v>6.5</v>
      </c>
      <c r="AQ4" s="28">
        <f t="shared" ref="AQ4:AQ65" si="10">(AP4*AK4)/100</f>
        <v>44.045179815000012</v>
      </c>
      <c r="AR4" s="12">
        <v>1.2</v>
      </c>
      <c r="AS4" s="28">
        <f t="shared" ref="AS4:AS65" si="11">(AR4*AK4)/100</f>
        <v>8.1314178120000005</v>
      </c>
      <c r="AT4" s="12">
        <v>38.299999999999997</v>
      </c>
      <c r="AU4" s="28">
        <f t="shared" ref="AU4:AU65" si="12">(AT4*AI4)/100</f>
        <v>433.26836700000001</v>
      </c>
      <c r="AV4" s="12">
        <v>3.6</v>
      </c>
      <c r="AW4" s="28">
        <f t="shared" ref="AW4:AW65" si="13">(AV4*AU4)/100</f>
        <v>15.597661212</v>
      </c>
      <c r="AX4" s="12">
        <v>31.2</v>
      </c>
      <c r="AY4" s="28">
        <f t="shared" ref="AY4:AY65" si="14">(AX4*AU4)/100</f>
        <v>135.17973050399999</v>
      </c>
      <c r="AZ4" s="12">
        <v>2.8</v>
      </c>
      <c r="BA4" s="28">
        <f t="shared" ref="BA4:BA65" si="15">(AZ4*AU4)/100</f>
        <v>12.131514276000001</v>
      </c>
      <c r="BB4" s="12">
        <v>43.9</v>
      </c>
      <c r="BC4" s="28">
        <f t="shared" ref="BC4:BC65" si="16">(BB4*AU4)/100</f>
        <v>190.20481311299997</v>
      </c>
      <c r="BD4" s="12">
        <v>17.2</v>
      </c>
      <c r="BE4" s="28">
        <f t="shared" ref="BE4:BE65" si="17">(BD4*AU4)/100</f>
        <v>74.522159123999998</v>
      </c>
      <c r="BF4" s="12">
        <v>0.16</v>
      </c>
      <c r="BG4" s="28">
        <f t="shared" ref="BG4:BG65" si="18">(BF4*AI4)/100</f>
        <v>1.8099984</v>
      </c>
      <c r="BH4" s="12">
        <v>1.2</v>
      </c>
      <c r="BI4" s="28">
        <f t="shared" ref="BI4:BI65" si="19">(BH4*AI4)/100</f>
        <v>13.574988000000001</v>
      </c>
      <c r="BJ4" s="12">
        <v>0.47</v>
      </c>
      <c r="BK4" s="28">
        <f t="shared" ref="BK4:BK65" si="20">(BJ4*AI4)/100</f>
        <v>5.3168702999999997</v>
      </c>
      <c r="BL4" s="12">
        <v>9.3000000000000007</v>
      </c>
      <c r="BM4" s="12"/>
      <c r="BN4" s="28">
        <f t="shared" ref="BN4:BN65" si="21">(BL4*AK4)/100</f>
        <v>63.018488043000019</v>
      </c>
      <c r="BO4" s="12">
        <v>44.2</v>
      </c>
      <c r="BP4" s="12">
        <v>14.8</v>
      </c>
      <c r="BQ4" s="12">
        <v>12.5</v>
      </c>
      <c r="BR4" s="12">
        <v>29</v>
      </c>
      <c r="BS4" s="12">
        <v>17.399999999999999</v>
      </c>
      <c r="BT4" s="12">
        <v>7.7</v>
      </c>
      <c r="BU4" s="12">
        <v>31</v>
      </c>
      <c r="BV4" s="28">
        <f t="shared" ref="BV4:BV65" si="22">(BU4*AK4)*100</f>
        <v>2100616.2681000005</v>
      </c>
      <c r="BW4" s="12">
        <v>24.4</v>
      </c>
      <c r="BX4" s="12">
        <v>18.2</v>
      </c>
      <c r="BY4" s="28">
        <f t="shared" ref="BY4:BY65" si="23">(BX4*BV4)/100</f>
        <v>382312.16079420008</v>
      </c>
      <c r="BZ4" s="12">
        <v>14.1</v>
      </c>
      <c r="CA4" s="28">
        <f t="shared" ref="CA4:CA65" si="24">(BZ4*BV4)/100</f>
        <v>296186.89380210004</v>
      </c>
      <c r="CB4" s="12">
        <v>22.9</v>
      </c>
      <c r="CC4" s="28">
        <f t="shared" ref="CC4:CC65" si="25">(CB4*BV4)/100</f>
        <v>481041.1253949001</v>
      </c>
      <c r="CD4" s="12">
        <v>9.4</v>
      </c>
      <c r="CE4" s="28">
        <f t="shared" ref="CE4:CE65" si="26">(CD4*BV4)/100</f>
        <v>197457.92920140005</v>
      </c>
      <c r="CF4" s="12">
        <v>11</v>
      </c>
      <c r="CG4" s="28">
        <f t="shared" ref="CG4:CG65" si="27">(CF4*BV4)/100</f>
        <v>231067.78949100006</v>
      </c>
      <c r="CH4" s="12">
        <v>10.7</v>
      </c>
      <c r="CI4" s="28">
        <f t="shared" ref="CI4:CI65" si="28">(CH4*AK4)/100</f>
        <v>72.505142157000009</v>
      </c>
      <c r="CJ4" s="12">
        <v>7.1</v>
      </c>
      <c r="CK4" s="12">
        <v>32</v>
      </c>
      <c r="CL4" s="28">
        <f t="shared" ref="CL4:CL65" si="29">(CK4*CI4)*100</f>
        <v>232016.45490240003</v>
      </c>
      <c r="CM4" s="12">
        <v>30</v>
      </c>
      <c r="CN4" s="28">
        <f t="shared" ref="CN4:CN65" si="30">(CM4*CI4)/100</f>
        <v>21.751542647100006</v>
      </c>
      <c r="CO4" s="12">
        <v>30.9</v>
      </c>
      <c r="CP4" s="28">
        <f t="shared" ref="CP4:CP65" si="31">(CO4*CI4)/100</f>
        <v>22.404088926513001</v>
      </c>
      <c r="CQ4" s="12">
        <v>12.1</v>
      </c>
      <c r="CR4" s="28">
        <f t="shared" ref="CR4:CR23" si="32">(CQ4*U4)/100</f>
        <v>189.84899999999999</v>
      </c>
      <c r="CS4" s="12">
        <v>0</v>
      </c>
      <c r="CT4" s="12">
        <f t="shared" ref="CT4:CT23" si="33">(CS4*U4)/100</f>
        <v>0</v>
      </c>
      <c r="CU4" s="27">
        <v>45960</v>
      </c>
      <c r="CV4" s="11">
        <v>0</v>
      </c>
      <c r="CW4" s="11">
        <v>68</v>
      </c>
      <c r="CX4" s="11">
        <v>0</v>
      </c>
      <c r="CY4" s="11">
        <v>0</v>
      </c>
      <c r="CZ4" s="11" t="s">
        <v>263</v>
      </c>
      <c r="DA4" s="11">
        <v>0</v>
      </c>
      <c r="DB4" s="11" t="s">
        <v>262</v>
      </c>
      <c r="DC4" s="11"/>
      <c r="DD4" s="11">
        <v>1722</v>
      </c>
      <c r="DE4" s="11">
        <v>310</v>
      </c>
      <c r="DF4" s="11">
        <v>39</v>
      </c>
      <c r="DG4" s="11">
        <v>19954</v>
      </c>
      <c r="DH4" s="11">
        <v>0.115</v>
      </c>
      <c r="DI4" s="11">
        <v>0.18</v>
      </c>
      <c r="DJ4" s="11">
        <v>564</v>
      </c>
      <c r="DK4" s="11"/>
      <c r="DL4" s="11" t="s">
        <v>95</v>
      </c>
      <c r="DM4" s="11">
        <v>29</v>
      </c>
      <c r="DN4" s="11">
        <v>1.5</v>
      </c>
      <c r="DO4" s="11">
        <v>0.5</v>
      </c>
      <c r="DP4" s="11">
        <v>0.5</v>
      </c>
      <c r="DQ4" s="11">
        <v>0.5</v>
      </c>
      <c r="DR4" s="11">
        <v>0.5</v>
      </c>
      <c r="DS4" s="11">
        <v>0</v>
      </c>
      <c r="DT4" s="11">
        <v>0</v>
      </c>
      <c r="DU4" s="11">
        <v>0</v>
      </c>
      <c r="DV4" s="11">
        <v>405</v>
      </c>
      <c r="DW4" s="11">
        <v>76</v>
      </c>
      <c r="DX4" s="11">
        <v>0</v>
      </c>
      <c r="DY4" s="11"/>
      <c r="DZ4" s="11"/>
      <c r="EA4" s="11"/>
      <c r="EB4" s="11">
        <v>0</v>
      </c>
      <c r="EC4" s="6">
        <v>0</v>
      </c>
      <c r="ED4" s="6">
        <v>1</v>
      </c>
      <c r="EE4" s="6">
        <v>1</v>
      </c>
      <c r="EF4" s="6">
        <v>0</v>
      </c>
      <c r="EG4" s="6">
        <v>0</v>
      </c>
      <c r="EH4" s="6">
        <v>1</v>
      </c>
      <c r="EI4" s="6">
        <v>0</v>
      </c>
      <c r="EJ4" s="6">
        <v>0</v>
      </c>
      <c r="EK4" s="6">
        <v>2</v>
      </c>
      <c r="EL4" s="6">
        <v>0</v>
      </c>
      <c r="EM4" s="6">
        <v>0</v>
      </c>
      <c r="EN4" s="6">
        <v>2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9" t="s">
        <v>393</v>
      </c>
      <c r="EV4" s="4"/>
      <c r="EW4" s="4"/>
      <c r="EX4" s="4"/>
    </row>
    <row r="5" spans="1:154" s="5" customFormat="1" ht="15.75" customHeight="1">
      <c r="A5" s="12">
        <v>18</v>
      </c>
      <c r="B5" s="12">
        <v>7039662</v>
      </c>
      <c r="C5" s="12" t="s">
        <v>38</v>
      </c>
      <c r="D5" s="12" t="s">
        <v>39</v>
      </c>
      <c r="E5" s="12">
        <v>3012440</v>
      </c>
      <c r="F5" s="12">
        <v>1119941</v>
      </c>
      <c r="G5" s="12">
        <v>4.1399999999999997</v>
      </c>
      <c r="H5" s="12">
        <v>38.6</v>
      </c>
      <c r="I5" s="12">
        <v>12.9</v>
      </c>
      <c r="J5" s="12">
        <v>323</v>
      </c>
      <c r="K5" s="12">
        <v>3.26</v>
      </c>
      <c r="L5" s="12">
        <v>60.72</v>
      </c>
      <c r="M5" s="12">
        <v>0.55000000000000004</v>
      </c>
      <c r="N5" s="12">
        <v>10.19</v>
      </c>
      <c r="O5" s="12">
        <v>0.12</v>
      </c>
      <c r="P5" s="12">
        <v>2.2400000000000002</v>
      </c>
      <c r="Q5" s="12">
        <v>0.03</v>
      </c>
      <c r="R5" s="12">
        <v>0.48</v>
      </c>
      <c r="S5" s="12">
        <v>1.42</v>
      </c>
      <c r="T5" s="12">
        <v>26.37</v>
      </c>
      <c r="U5" s="12">
        <v>1538</v>
      </c>
      <c r="V5" s="12">
        <v>5.6</v>
      </c>
      <c r="W5" s="28">
        <f t="shared" si="0"/>
        <v>86.127999999999986</v>
      </c>
      <c r="X5" s="12">
        <v>64.099999999999994</v>
      </c>
      <c r="Y5" s="28">
        <f t="shared" si="1"/>
        <v>985.85799999999983</v>
      </c>
      <c r="Z5" s="12">
        <v>21</v>
      </c>
      <c r="AA5" s="28">
        <f t="shared" si="2"/>
        <v>322.98</v>
      </c>
      <c r="AB5" s="12">
        <v>10.9</v>
      </c>
      <c r="AC5" s="28">
        <f t="shared" si="3"/>
        <v>167.642</v>
      </c>
      <c r="AD5" s="12">
        <v>10.1</v>
      </c>
      <c r="AE5" s="29">
        <f t="shared" si="4"/>
        <v>155.33799999999999</v>
      </c>
      <c r="AF5" s="30"/>
      <c r="AG5" s="26"/>
      <c r="AH5" s="30">
        <v>63.3</v>
      </c>
      <c r="AI5" s="28">
        <f t="shared" si="6"/>
        <v>973.55399999999997</v>
      </c>
      <c r="AJ5" s="30">
        <v>74.2</v>
      </c>
      <c r="AK5" s="28">
        <f t="shared" si="7"/>
        <v>722.37706800000001</v>
      </c>
      <c r="AL5" s="12">
        <v>23.7</v>
      </c>
      <c r="AM5" s="28">
        <f t="shared" si="8"/>
        <v>171.20336511599999</v>
      </c>
      <c r="AN5" s="12">
        <v>36.9</v>
      </c>
      <c r="AO5" s="28">
        <f t="shared" si="9"/>
        <v>266.557138092</v>
      </c>
      <c r="AP5" s="12">
        <v>11.4</v>
      </c>
      <c r="AQ5" s="28">
        <f t="shared" si="10"/>
        <v>82.350985752</v>
      </c>
      <c r="AR5" s="12">
        <v>27.9</v>
      </c>
      <c r="AS5" s="28">
        <f t="shared" si="11"/>
        <v>201.54320197199999</v>
      </c>
      <c r="AT5" s="12">
        <v>22</v>
      </c>
      <c r="AU5" s="28">
        <f t="shared" si="12"/>
        <v>214.18187999999998</v>
      </c>
      <c r="AV5" s="12">
        <v>8.1999999999999993</v>
      </c>
      <c r="AW5" s="28">
        <f t="shared" si="13"/>
        <v>17.562914159999995</v>
      </c>
      <c r="AX5" s="12">
        <v>32.700000000000003</v>
      </c>
      <c r="AY5" s="28">
        <f t="shared" si="14"/>
        <v>70.037474759999995</v>
      </c>
      <c r="AZ5" s="12">
        <v>5.2</v>
      </c>
      <c r="BA5" s="28">
        <f t="shared" si="15"/>
        <v>11.13745776</v>
      </c>
      <c r="BB5" s="12">
        <v>32.799999999999997</v>
      </c>
      <c r="BC5" s="28">
        <f t="shared" si="16"/>
        <v>70.251656639999979</v>
      </c>
      <c r="BD5" s="12">
        <v>20.9</v>
      </c>
      <c r="BE5" s="28">
        <f t="shared" si="17"/>
        <v>44.764012919999999</v>
      </c>
      <c r="BF5" s="12">
        <v>9.1999999999999998E-2</v>
      </c>
      <c r="BG5" s="28">
        <f t="shared" si="18"/>
        <v>0.89566968000000002</v>
      </c>
      <c r="BH5" s="12">
        <v>0.64</v>
      </c>
      <c r="BI5" s="28">
        <f t="shared" si="19"/>
        <v>6.2307456000000006</v>
      </c>
      <c r="BJ5" s="12">
        <v>3.1</v>
      </c>
      <c r="BK5" s="28">
        <f t="shared" si="20"/>
        <v>30.180174000000001</v>
      </c>
      <c r="BL5" s="12">
        <v>7.5</v>
      </c>
      <c r="BM5" s="12"/>
      <c r="BN5" s="28">
        <f t="shared" si="21"/>
        <v>54.178280100000002</v>
      </c>
      <c r="BO5" s="12">
        <v>70.5</v>
      </c>
      <c r="BP5" s="12">
        <v>27.3</v>
      </c>
      <c r="BQ5" s="12">
        <v>11.5</v>
      </c>
      <c r="BR5" s="12">
        <v>16.7</v>
      </c>
      <c r="BS5" s="12">
        <v>11.3</v>
      </c>
      <c r="BT5" s="12">
        <v>10.4</v>
      </c>
      <c r="BU5" s="12">
        <v>42.6</v>
      </c>
      <c r="BV5" s="28">
        <f t="shared" si="22"/>
        <v>3077326.3096799999</v>
      </c>
      <c r="BW5" s="12">
        <v>30.3</v>
      </c>
      <c r="BX5" s="12">
        <v>10.3</v>
      </c>
      <c r="BY5" s="28">
        <f t="shared" si="23"/>
        <v>316964.60989704001</v>
      </c>
      <c r="BZ5" s="12">
        <v>33</v>
      </c>
      <c r="CA5" s="28">
        <f t="shared" si="24"/>
        <v>1015517.6821944</v>
      </c>
      <c r="CB5" s="12">
        <v>12.9</v>
      </c>
      <c r="CC5" s="28">
        <f t="shared" si="25"/>
        <v>396975.09394872002</v>
      </c>
      <c r="CD5" s="12">
        <v>10.5</v>
      </c>
      <c r="CE5" s="28">
        <f t="shared" si="26"/>
        <v>323119.26251640002</v>
      </c>
      <c r="CF5" s="12">
        <v>3</v>
      </c>
      <c r="CG5" s="28">
        <f t="shared" si="27"/>
        <v>92319.789290400004</v>
      </c>
      <c r="CH5" s="12">
        <v>4.3</v>
      </c>
      <c r="CI5" s="28">
        <f t="shared" si="28"/>
        <v>31.062213923999998</v>
      </c>
      <c r="CJ5" s="12">
        <v>2.1</v>
      </c>
      <c r="CK5" s="12">
        <v>42.3</v>
      </c>
      <c r="CL5" s="28">
        <f t="shared" si="29"/>
        <v>131393.16489851999</v>
      </c>
      <c r="CM5" s="12">
        <v>21.9</v>
      </c>
      <c r="CN5" s="28">
        <f t="shared" si="30"/>
        <v>6.8026248493559986</v>
      </c>
      <c r="CO5" s="12">
        <v>33.700000000000003</v>
      </c>
      <c r="CP5" s="28">
        <f t="shared" si="31"/>
        <v>10.467966092388002</v>
      </c>
      <c r="CQ5" s="12">
        <v>25</v>
      </c>
      <c r="CR5" s="28">
        <f t="shared" si="32"/>
        <v>384.5</v>
      </c>
      <c r="CS5" s="12">
        <v>0</v>
      </c>
      <c r="CT5" s="12">
        <f t="shared" si="33"/>
        <v>0</v>
      </c>
      <c r="CU5" s="27">
        <v>45848</v>
      </c>
      <c r="CV5" s="11">
        <v>1</v>
      </c>
      <c r="CW5" s="11">
        <v>71</v>
      </c>
      <c r="CX5" s="11">
        <v>2</v>
      </c>
      <c r="CY5" s="11">
        <v>1</v>
      </c>
      <c r="CZ5" s="11" t="s">
        <v>93</v>
      </c>
      <c r="DA5" s="11">
        <v>1</v>
      </c>
      <c r="DB5" s="11" t="s">
        <v>94</v>
      </c>
      <c r="DC5" s="11">
        <v>0.26</v>
      </c>
      <c r="DD5" s="11">
        <v>366</v>
      </c>
      <c r="DE5" s="11">
        <v>161</v>
      </c>
      <c r="DF5" s="11">
        <v>28</v>
      </c>
      <c r="DG5" s="11">
        <v>7232</v>
      </c>
      <c r="DH5" s="11">
        <v>5.0999999999999997E-2</v>
      </c>
      <c r="DI5" s="11">
        <v>0.44</v>
      </c>
      <c r="DJ5" s="11">
        <v>369</v>
      </c>
      <c r="DK5" s="11">
        <v>19.12</v>
      </c>
      <c r="DL5" s="11" t="s">
        <v>95</v>
      </c>
      <c r="DM5" s="11">
        <v>30</v>
      </c>
      <c r="DN5" s="11">
        <v>0.5</v>
      </c>
      <c r="DO5" s="11">
        <v>0</v>
      </c>
      <c r="DP5" s="11">
        <v>0</v>
      </c>
      <c r="DQ5" s="11">
        <v>0</v>
      </c>
      <c r="DR5" s="11">
        <v>0.5</v>
      </c>
      <c r="DS5" s="11">
        <v>0</v>
      </c>
      <c r="DT5" s="11">
        <v>0</v>
      </c>
      <c r="DU5" s="11">
        <v>0</v>
      </c>
      <c r="DV5" s="11">
        <v>465</v>
      </c>
      <c r="DW5" s="11">
        <v>90</v>
      </c>
      <c r="DX5" s="11">
        <v>1</v>
      </c>
      <c r="DY5" s="11"/>
      <c r="DZ5" s="11"/>
      <c r="EA5" s="11"/>
      <c r="EB5" s="11">
        <v>1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1</v>
      </c>
      <c r="EJ5" s="6">
        <v>0</v>
      </c>
      <c r="EK5" s="6">
        <v>3</v>
      </c>
      <c r="EL5" s="6">
        <v>0</v>
      </c>
      <c r="EM5" s="6">
        <v>1</v>
      </c>
      <c r="EN5" s="6">
        <v>2</v>
      </c>
      <c r="EO5" s="6">
        <v>0</v>
      </c>
      <c r="EP5" s="6">
        <v>1</v>
      </c>
      <c r="EQ5" s="6">
        <v>1</v>
      </c>
      <c r="ER5" s="6">
        <v>0</v>
      </c>
      <c r="ES5" s="6">
        <v>0</v>
      </c>
      <c r="ET5" s="6">
        <v>0</v>
      </c>
      <c r="EU5" s="9" t="s">
        <v>264</v>
      </c>
      <c r="EV5" s="4"/>
      <c r="EW5" s="4"/>
      <c r="EX5" s="4"/>
    </row>
    <row r="6" spans="1:154" s="5" customFormat="1" ht="15.75" customHeight="1">
      <c r="A6" s="12">
        <v>64</v>
      </c>
      <c r="B6" s="12">
        <v>7041802</v>
      </c>
      <c r="C6" s="12" t="s">
        <v>394</v>
      </c>
      <c r="D6" s="12" t="s">
        <v>40</v>
      </c>
      <c r="E6" s="12">
        <v>3310300</v>
      </c>
      <c r="F6" s="12">
        <v>1131074</v>
      </c>
      <c r="G6" s="12">
        <v>5.28</v>
      </c>
      <c r="H6" s="12">
        <v>48.1</v>
      </c>
      <c r="I6" s="12">
        <v>16.3</v>
      </c>
      <c r="J6" s="12">
        <v>157</v>
      </c>
      <c r="K6" s="12">
        <v>3.8</v>
      </c>
      <c r="L6" s="12">
        <v>54.64</v>
      </c>
      <c r="M6" s="12">
        <v>1.1599999999999999</v>
      </c>
      <c r="N6" s="12">
        <v>16.66</v>
      </c>
      <c r="O6" s="12">
        <v>0.28000000000000003</v>
      </c>
      <c r="P6" s="12">
        <v>3.97</v>
      </c>
      <c r="Q6" s="12">
        <v>0.05</v>
      </c>
      <c r="R6" s="12">
        <v>0.64</v>
      </c>
      <c r="S6" s="12">
        <v>1.68</v>
      </c>
      <c r="T6" s="12">
        <v>24.09</v>
      </c>
      <c r="U6" s="12">
        <v>1900</v>
      </c>
      <c r="V6" s="12">
        <v>7.3</v>
      </c>
      <c r="W6" s="28">
        <f t="shared" si="0"/>
        <v>138.69999999999999</v>
      </c>
      <c r="X6" s="12">
        <v>82.7</v>
      </c>
      <c r="Y6" s="28">
        <f t="shared" si="1"/>
        <v>1571.3</v>
      </c>
      <c r="Z6" s="12">
        <v>15.5</v>
      </c>
      <c r="AA6" s="28">
        <f t="shared" si="2"/>
        <v>294.5</v>
      </c>
      <c r="AB6" s="12">
        <v>7.9</v>
      </c>
      <c r="AC6" s="28">
        <f t="shared" si="3"/>
        <v>150.1</v>
      </c>
      <c r="AD6" s="12">
        <v>7.4</v>
      </c>
      <c r="AE6" s="29">
        <f t="shared" si="4"/>
        <v>140.6</v>
      </c>
      <c r="AF6" s="30">
        <v>0.16</v>
      </c>
      <c r="AG6" s="29">
        <f t="shared" si="5"/>
        <v>3.04</v>
      </c>
      <c r="AH6" s="30">
        <v>65.7</v>
      </c>
      <c r="AI6" s="28">
        <f t="shared" si="6"/>
        <v>1248.3</v>
      </c>
      <c r="AJ6" s="30">
        <v>83.9</v>
      </c>
      <c r="AK6" s="28">
        <f t="shared" si="7"/>
        <v>1047.3237000000001</v>
      </c>
      <c r="AL6" s="12">
        <v>53.3</v>
      </c>
      <c r="AM6" s="28">
        <f t="shared" si="8"/>
        <v>558.22353210000006</v>
      </c>
      <c r="AN6" s="12">
        <v>34.9</v>
      </c>
      <c r="AO6" s="28">
        <f t="shared" si="9"/>
        <v>365.51597130000005</v>
      </c>
      <c r="AP6" s="12">
        <v>5.5</v>
      </c>
      <c r="AQ6" s="28">
        <f t="shared" si="10"/>
        <v>57.602803500000007</v>
      </c>
      <c r="AR6" s="12">
        <v>5.8</v>
      </c>
      <c r="AS6" s="28">
        <f t="shared" si="11"/>
        <v>60.744774600000007</v>
      </c>
      <c r="AT6" s="12">
        <v>14.1</v>
      </c>
      <c r="AU6" s="28">
        <f t="shared" si="12"/>
        <v>176.0103</v>
      </c>
      <c r="AV6" s="12">
        <v>4.0999999999999996</v>
      </c>
      <c r="AW6" s="28">
        <f t="shared" si="13"/>
        <v>7.2164222999999996</v>
      </c>
      <c r="AX6" s="12">
        <v>35.200000000000003</v>
      </c>
      <c r="AY6" s="28">
        <f t="shared" si="14"/>
        <v>61.955625600000005</v>
      </c>
      <c r="AZ6" s="12">
        <v>3.1</v>
      </c>
      <c r="BA6" s="28">
        <f t="shared" si="15"/>
        <v>5.4563193000000005</v>
      </c>
      <c r="BB6" s="12">
        <v>28.1</v>
      </c>
      <c r="BC6" s="28">
        <f t="shared" si="16"/>
        <v>49.458894300000004</v>
      </c>
      <c r="BD6" s="12">
        <v>29.5</v>
      </c>
      <c r="BE6" s="28">
        <f t="shared" si="17"/>
        <v>51.923038500000004</v>
      </c>
      <c r="BF6" s="12">
        <v>3.5000000000000003E-2</v>
      </c>
      <c r="BG6" s="28">
        <f t="shared" si="18"/>
        <v>0.43690499999999999</v>
      </c>
      <c r="BH6" s="12">
        <v>0.28000000000000003</v>
      </c>
      <c r="BI6" s="28">
        <f t="shared" si="19"/>
        <v>3.4952399999999999</v>
      </c>
      <c r="BJ6" s="12">
        <v>1.7</v>
      </c>
      <c r="BK6" s="28">
        <f t="shared" si="20"/>
        <v>21.221099999999996</v>
      </c>
      <c r="BL6" s="12">
        <v>7.1</v>
      </c>
      <c r="BM6" s="12"/>
      <c r="BN6" s="28">
        <f t="shared" si="21"/>
        <v>74.359982700000003</v>
      </c>
      <c r="BO6" s="12">
        <v>54</v>
      </c>
      <c r="BP6" s="12">
        <v>11.3</v>
      </c>
      <c r="BQ6" s="12">
        <v>11.2</v>
      </c>
      <c r="BR6" s="12">
        <v>27.3</v>
      </c>
      <c r="BS6" s="12">
        <v>32.5</v>
      </c>
      <c r="BT6" s="12">
        <v>12</v>
      </c>
      <c r="BU6" s="12">
        <v>27.3</v>
      </c>
      <c r="BV6" s="28">
        <f t="shared" si="22"/>
        <v>2859193.7010000004</v>
      </c>
      <c r="BW6" s="12">
        <v>25.8</v>
      </c>
      <c r="BX6" s="12">
        <v>18.5</v>
      </c>
      <c r="BY6" s="28">
        <f t="shared" si="23"/>
        <v>528950.83468500001</v>
      </c>
      <c r="BZ6" s="12">
        <v>13.4</v>
      </c>
      <c r="CA6" s="28">
        <f t="shared" si="24"/>
        <v>383131.95593400009</v>
      </c>
      <c r="CB6" s="12">
        <v>17.100000000000001</v>
      </c>
      <c r="CC6" s="28">
        <f t="shared" si="25"/>
        <v>488922.12287100009</v>
      </c>
      <c r="CD6" s="12">
        <v>14.9</v>
      </c>
      <c r="CE6" s="28">
        <f t="shared" si="26"/>
        <v>426019.86144900008</v>
      </c>
      <c r="CF6" s="12">
        <v>10.3</v>
      </c>
      <c r="CG6" s="28">
        <f t="shared" si="27"/>
        <v>294496.95120300003</v>
      </c>
      <c r="CH6" s="12">
        <v>7.1</v>
      </c>
      <c r="CI6" s="28">
        <f t="shared" si="28"/>
        <v>74.359982700000003</v>
      </c>
      <c r="CJ6" s="12">
        <v>8</v>
      </c>
      <c r="CK6" s="12">
        <v>27.1</v>
      </c>
      <c r="CL6" s="28">
        <f t="shared" si="29"/>
        <v>201515.553117</v>
      </c>
      <c r="CM6" s="12">
        <v>16.7</v>
      </c>
      <c r="CN6" s="28">
        <f t="shared" si="30"/>
        <v>12.418117110900001</v>
      </c>
      <c r="CO6" s="12">
        <v>48.2</v>
      </c>
      <c r="CP6" s="28">
        <f t="shared" si="31"/>
        <v>35.841511661400006</v>
      </c>
      <c r="CQ6" s="12">
        <v>19.600000000000001</v>
      </c>
      <c r="CR6" s="28">
        <f t="shared" si="32"/>
        <v>372.4</v>
      </c>
      <c r="CS6" s="12">
        <v>2.8</v>
      </c>
      <c r="CT6" s="28">
        <f t="shared" si="33"/>
        <v>53.2</v>
      </c>
      <c r="CU6" s="27">
        <v>45967</v>
      </c>
      <c r="CV6" s="11">
        <v>0</v>
      </c>
      <c r="CW6" s="11">
        <v>75</v>
      </c>
      <c r="CX6" s="11">
        <v>1</v>
      </c>
      <c r="CY6" s="11">
        <v>1</v>
      </c>
      <c r="CZ6" s="11" t="s">
        <v>93</v>
      </c>
      <c r="DA6" s="11">
        <v>1</v>
      </c>
      <c r="DB6" s="11" t="s">
        <v>97</v>
      </c>
      <c r="DC6" s="11">
        <v>0.31</v>
      </c>
      <c r="DD6" s="11">
        <v>792</v>
      </c>
      <c r="DE6" s="11">
        <v>611</v>
      </c>
      <c r="DF6" s="11">
        <v>85</v>
      </c>
      <c r="DG6" s="11">
        <v>13910</v>
      </c>
      <c r="DH6" s="11">
        <v>5.7000000000000002E-2</v>
      </c>
      <c r="DI6" s="11">
        <v>0.77</v>
      </c>
      <c r="DJ6" s="11">
        <v>935</v>
      </c>
      <c r="DK6" s="11">
        <v>24.5</v>
      </c>
      <c r="DL6" s="11" t="s">
        <v>95</v>
      </c>
      <c r="DM6" s="11">
        <v>25</v>
      </c>
      <c r="DN6" s="11">
        <v>1.5</v>
      </c>
      <c r="DO6" s="11">
        <v>0.5</v>
      </c>
      <c r="DP6" s="11">
        <v>0.5</v>
      </c>
      <c r="DQ6" s="11">
        <v>0.5</v>
      </c>
      <c r="DR6" s="11">
        <v>0.5</v>
      </c>
      <c r="DS6" s="11">
        <v>0</v>
      </c>
      <c r="DT6" s="11">
        <v>0</v>
      </c>
      <c r="DU6" s="11">
        <v>0</v>
      </c>
      <c r="DV6" s="11">
        <v>321</v>
      </c>
      <c r="DW6" s="11">
        <v>55</v>
      </c>
      <c r="DX6" s="11">
        <v>3</v>
      </c>
      <c r="DY6" s="11"/>
      <c r="DZ6" s="11"/>
      <c r="EA6" s="11"/>
      <c r="EB6" s="11">
        <v>1</v>
      </c>
      <c r="EC6" s="6">
        <v>1</v>
      </c>
      <c r="ED6" s="6">
        <v>1</v>
      </c>
      <c r="EE6" s="6">
        <v>1</v>
      </c>
      <c r="EF6" s="6">
        <v>1</v>
      </c>
      <c r="EG6" s="6">
        <v>0</v>
      </c>
      <c r="EH6" s="6">
        <v>1</v>
      </c>
      <c r="EI6" s="6">
        <v>0</v>
      </c>
      <c r="EJ6" s="6">
        <v>0</v>
      </c>
      <c r="EK6" s="6">
        <v>1</v>
      </c>
      <c r="EL6" s="6">
        <v>0</v>
      </c>
      <c r="EM6" s="6">
        <v>1</v>
      </c>
      <c r="EN6" s="6">
        <v>2</v>
      </c>
      <c r="EO6" s="6">
        <v>0</v>
      </c>
      <c r="EP6" s="6">
        <v>1</v>
      </c>
      <c r="EQ6" s="6">
        <v>0</v>
      </c>
      <c r="ER6" s="6">
        <v>0</v>
      </c>
      <c r="ES6" s="6">
        <v>1</v>
      </c>
      <c r="ET6" s="6">
        <v>0</v>
      </c>
      <c r="EU6" s="10" t="s">
        <v>265</v>
      </c>
      <c r="EV6" s="4"/>
      <c r="EW6" s="4"/>
      <c r="EX6" s="4"/>
    </row>
    <row r="7" spans="1:154" s="5" customFormat="1" ht="15.75" customHeight="1">
      <c r="A7" s="12">
        <v>20</v>
      </c>
      <c r="B7" s="12">
        <v>7039664</v>
      </c>
      <c r="C7" s="12" t="s">
        <v>395</v>
      </c>
      <c r="D7" s="12" t="s">
        <v>41</v>
      </c>
      <c r="E7" s="12">
        <v>2902581</v>
      </c>
      <c r="F7" s="12">
        <v>1164381</v>
      </c>
      <c r="G7" s="12">
        <v>4.5599999999999996</v>
      </c>
      <c r="H7" s="12">
        <v>39.799999999999997</v>
      </c>
      <c r="I7" s="12">
        <v>12.8</v>
      </c>
      <c r="J7" s="12">
        <v>301</v>
      </c>
      <c r="K7" s="12">
        <v>4.51</v>
      </c>
      <c r="L7" s="12">
        <v>51.19</v>
      </c>
      <c r="M7" s="12">
        <v>0.5</v>
      </c>
      <c r="N7" s="12">
        <v>5.65</v>
      </c>
      <c r="O7" s="12">
        <v>0.22</v>
      </c>
      <c r="P7" s="12">
        <v>2.4500000000000002</v>
      </c>
      <c r="Q7" s="12">
        <v>0.06</v>
      </c>
      <c r="R7" s="12">
        <v>0.73</v>
      </c>
      <c r="S7" s="12">
        <v>3.52</v>
      </c>
      <c r="T7" s="12">
        <v>39.979999999999997</v>
      </c>
      <c r="U7" s="12">
        <v>4199</v>
      </c>
      <c r="V7" s="12">
        <v>5</v>
      </c>
      <c r="W7" s="28">
        <f t="shared" si="0"/>
        <v>209.95</v>
      </c>
      <c r="X7" s="12">
        <v>57.5</v>
      </c>
      <c r="Y7" s="28">
        <f t="shared" si="1"/>
        <v>2414.4250000000002</v>
      </c>
      <c r="Z7" s="12">
        <v>42.5</v>
      </c>
      <c r="AA7" s="28">
        <f t="shared" si="2"/>
        <v>1784.575</v>
      </c>
      <c r="AB7" s="12">
        <v>19.399999999999999</v>
      </c>
      <c r="AC7" s="28">
        <f t="shared" si="3"/>
        <v>814.60599999999988</v>
      </c>
      <c r="AD7" s="12">
        <v>23.1</v>
      </c>
      <c r="AE7" s="29">
        <f t="shared" si="4"/>
        <v>969.96900000000005</v>
      </c>
      <c r="AF7" s="30"/>
      <c r="AG7" s="26"/>
      <c r="AH7" s="30">
        <v>74.3</v>
      </c>
      <c r="AI7" s="28">
        <f t="shared" si="6"/>
        <v>3119.857</v>
      </c>
      <c r="AJ7" s="30">
        <v>50.7</v>
      </c>
      <c r="AK7" s="28">
        <f t="shared" si="7"/>
        <v>1581.767499</v>
      </c>
      <c r="AL7" s="12">
        <v>24</v>
      </c>
      <c r="AM7" s="28">
        <f t="shared" si="8"/>
        <v>379.62419976000007</v>
      </c>
      <c r="AN7" s="12">
        <v>62.7</v>
      </c>
      <c r="AO7" s="28">
        <f t="shared" si="9"/>
        <v>991.76822187300002</v>
      </c>
      <c r="AP7" s="12">
        <v>11.7</v>
      </c>
      <c r="AQ7" s="28">
        <f t="shared" si="10"/>
        <v>185.06679738300002</v>
      </c>
      <c r="AR7" s="12">
        <v>1.4</v>
      </c>
      <c r="AS7" s="28">
        <f t="shared" si="11"/>
        <v>22.144744985999999</v>
      </c>
      <c r="AT7" s="12">
        <v>46.4</v>
      </c>
      <c r="AU7" s="28">
        <f t="shared" si="12"/>
        <v>1447.6136479999998</v>
      </c>
      <c r="AV7" s="12">
        <v>1.4</v>
      </c>
      <c r="AW7" s="28">
        <f t="shared" si="13"/>
        <v>20.266591071999997</v>
      </c>
      <c r="AX7" s="12">
        <v>35.5</v>
      </c>
      <c r="AY7" s="28">
        <f t="shared" si="14"/>
        <v>513.90284503999999</v>
      </c>
      <c r="AZ7" s="12">
        <v>0.98</v>
      </c>
      <c r="BA7" s="28">
        <f t="shared" si="15"/>
        <v>14.186613750399998</v>
      </c>
      <c r="BB7" s="12">
        <v>18.5</v>
      </c>
      <c r="BC7" s="28">
        <f t="shared" si="16"/>
        <v>267.80852487999999</v>
      </c>
      <c r="BD7" s="12">
        <v>43.6</v>
      </c>
      <c r="BE7" s="28">
        <f t="shared" si="17"/>
        <v>631.15955052799984</v>
      </c>
      <c r="BF7" s="12">
        <v>0.96</v>
      </c>
      <c r="BG7" s="28">
        <f t="shared" si="18"/>
        <v>29.9506272</v>
      </c>
      <c r="BH7" s="12">
        <v>0.36</v>
      </c>
      <c r="BI7" s="28">
        <f t="shared" si="19"/>
        <v>11.2314852</v>
      </c>
      <c r="BJ7" s="12">
        <v>1.6</v>
      </c>
      <c r="BK7" s="28">
        <f t="shared" si="20"/>
        <v>49.917712000000002</v>
      </c>
      <c r="BL7" s="12">
        <v>10.8</v>
      </c>
      <c r="BM7" s="12"/>
      <c r="BN7" s="28">
        <f t="shared" si="21"/>
        <v>170.83088989200002</v>
      </c>
      <c r="BO7" s="12">
        <v>75.3</v>
      </c>
      <c r="BP7" s="12">
        <v>23.5</v>
      </c>
      <c r="BQ7" s="12">
        <v>46.7</v>
      </c>
      <c r="BR7" s="12">
        <v>20.2</v>
      </c>
      <c r="BS7" s="12">
        <v>9.6</v>
      </c>
      <c r="BT7" s="12">
        <v>15.1</v>
      </c>
      <c r="BU7" s="12">
        <v>47.2</v>
      </c>
      <c r="BV7" s="28">
        <f t="shared" si="22"/>
        <v>7465942.5952800009</v>
      </c>
      <c r="BW7" s="12">
        <v>34.799999999999997</v>
      </c>
      <c r="BX7" s="12">
        <v>18.7</v>
      </c>
      <c r="BY7" s="28">
        <f t="shared" si="23"/>
        <v>1396131.2653173602</v>
      </c>
      <c r="BZ7" s="12">
        <v>22.6</v>
      </c>
      <c r="CA7" s="28">
        <f t="shared" si="24"/>
        <v>1687303.0265332803</v>
      </c>
      <c r="CB7" s="12">
        <v>14.9</v>
      </c>
      <c r="CC7" s="28">
        <f t="shared" si="25"/>
        <v>1112425.4466967201</v>
      </c>
      <c r="CD7" s="12">
        <v>6.5</v>
      </c>
      <c r="CE7" s="28">
        <f t="shared" si="26"/>
        <v>485286.26869320008</v>
      </c>
      <c r="CF7" s="12">
        <v>2.5</v>
      </c>
      <c r="CG7" s="28">
        <f t="shared" si="27"/>
        <v>186648.56488200001</v>
      </c>
      <c r="CH7" s="12">
        <v>16.2</v>
      </c>
      <c r="CI7" s="28">
        <f t="shared" si="28"/>
        <v>256.246334838</v>
      </c>
      <c r="CJ7" s="12">
        <v>13.6</v>
      </c>
      <c r="CK7" s="12">
        <v>37.1</v>
      </c>
      <c r="CL7" s="28">
        <f t="shared" si="29"/>
        <v>950673.90224898013</v>
      </c>
      <c r="CM7" s="12">
        <v>19.5</v>
      </c>
      <c r="CN7" s="28">
        <f t="shared" si="30"/>
        <v>49.968035293410004</v>
      </c>
      <c r="CO7" s="12">
        <v>29.8</v>
      </c>
      <c r="CP7" s="28">
        <f t="shared" si="31"/>
        <v>76.361407781723997</v>
      </c>
      <c r="CQ7" s="12">
        <v>16.399999999999999</v>
      </c>
      <c r="CR7" s="28">
        <f t="shared" si="32"/>
        <v>688.63599999999997</v>
      </c>
      <c r="CS7" s="12">
        <v>0.28999999999999998</v>
      </c>
      <c r="CT7" s="28">
        <f t="shared" si="33"/>
        <v>12.177099999999998</v>
      </c>
      <c r="CU7" s="27">
        <v>45848</v>
      </c>
      <c r="CV7" s="11">
        <v>1</v>
      </c>
      <c r="CW7" s="11">
        <v>77</v>
      </c>
      <c r="CX7" s="11">
        <v>2</v>
      </c>
      <c r="CY7" s="11">
        <v>1</v>
      </c>
      <c r="CZ7" s="11" t="s">
        <v>93</v>
      </c>
      <c r="DA7" s="11">
        <v>1</v>
      </c>
      <c r="DB7" s="11" t="s">
        <v>266</v>
      </c>
      <c r="DC7" s="11">
        <v>0.39</v>
      </c>
      <c r="DD7" s="11">
        <v>640</v>
      </c>
      <c r="DE7" s="11">
        <v>552</v>
      </c>
      <c r="DF7" s="11">
        <v>75</v>
      </c>
      <c r="DG7" s="11">
        <v>11402</v>
      </c>
      <c r="DH7" s="11">
        <v>5.6000000000000001E-2</v>
      </c>
      <c r="DI7" s="11">
        <v>0.86</v>
      </c>
      <c r="DJ7" s="11">
        <v>824</v>
      </c>
      <c r="DK7" s="11">
        <v>37.65</v>
      </c>
      <c r="DL7" s="11" t="s">
        <v>96</v>
      </c>
      <c r="DM7" s="11">
        <v>25</v>
      </c>
      <c r="DN7" s="11">
        <v>1.5</v>
      </c>
      <c r="DO7" s="11">
        <v>0.5</v>
      </c>
      <c r="DP7" s="11">
        <v>0.5</v>
      </c>
      <c r="DQ7" s="11">
        <v>0.5</v>
      </c>
      <c r="DR7" s="11">
        <v>0.5</v>
      </c>
      <c r="DS7" s="11">
        <v>0</v>
      </c>
      <c r="DT7" s="11">
        <v>0</v>
      </c>
      <c r="DU7" s="11">
        <v>0</v>
      </c>
      <c r="DV7" s="11">
        <v>283</v>
      </c>
      <c r="DW7" s="11">
        <v>50</v>
      </c>
      <c r="DX7" s="11"/>
      <c r="DY7" s="11"/>
      <c r="DZ7" s="11"/>
      <c r="EA7" s="11"/>
      <c r="EB7" s="11">
        <v>1</v>
      </c>
      <c r="EC7" s="6">
        <v>0</v>
      </c>
      <c r="ED7" s="6">
        <v>1</v>
      </c>
      <c r="EE7" s="6">
        <v>0</v>
      </c>
      <c r="EF7" s="6">
        <v>0</v>
      </c>
      <c r="EG7" s="6">
        <v>0</v>
      </c>
      <c r="EH7" s="6">
        <v>1</v>
      </c>
      <c r="EI7" s="6">
        <v>0</v>
      </c>
      <c r="EJ7" s="6">
        <v>1</v>
      </c>
      <c r="EK7" s="6">
        <v>1</v>
      </c>
      <c r="EL7" s="6">
        <v>0</v>
      </c>
      <c r="EM7" s="6">
        <v>0</v>
      </c>
      <c r="EN7" s="6">
        <v>1</v>
      </c>
      <c r="EO7" s="6">
        <v>0</v>
      </c>
      <c r="EP7" s="6">
        <v>1</v>
      </c>
      <c r="EQ7" s="6">
        <v>1</v>
      </c>
      <c r="ER7" s="6">
        <v>1</v>
      </c>
      <c r="ES7" s="6">
        <v>1</v>
      </c>
      <c r="ET7" s="6">
        <v>1</v>
      </c>
      <c r="EU7" s="11"/>
      <c r="EV7" s="4"/>
      <c r="EW7" s="4"/>
      <c r="EX7" s="4"/>
    </row>
    <row r="8" spans="1:154" s="5" customFormat="1" ht="15.75" customHeight="1">
      <c r="A8" s="12">
        <v>27</v>
      </c>
      <c r="B8" s="12">
        <v>7039935</v>
      </c>
      <c r="C8" s="12" t="s">
        <v>42</v>
      </c>
      <c r="D8" s="12" t="s">
        <v>43</v>
      </c>
      <c r="E8" s="12">
        <v>2891075</v>
      </c>
      <c r="F8" s="12">
        <v>1241042</v>
      </c>
      <c r="G8" s="12">
        <v>4.43</v>
      </c>
      <c r="H8" s="12">
        <v>42</v>
      </c>
      <c r="I8" s="12">
        <v>13.8</v>
      </c>
      <c r="J8" s="12">
        <v>166</v>
      </c>
      <c r="K8" s="12">
        <v>3.71</v>
      </c>
      <c r="L8" s="12">
        <v>56.39</v>
      </c>
      <c r="M8" s="12">
        <v>0.45</v>
      </c>
      <c r="N8" s="12">
        <v>6.79</v>
      </c>
      <c r="O8" s="12">
        <v>0.22</v>
      </c>
      <c r="P8" s="12">
        <v>3.33</v>
      </c>
      <c r="Q8" s="12">
        <v>0.04</v>
      </c>
      <c r="R8" s="12">
        <v>0.67</v>
      </c>
      <c r="S8" s="12">
        <v>2.16</v>
      </c>
      <c r="T8" s="12">
        <v>32.82</v>
      </c>
      <c r="U8" s="12">
        <v>2676</v>
      </c>
      <c r="V8" s="12">
        <v>5.3</v>
      </c>
      <c r="W8" s="28">
        <f t="shared" si="0"/>
        <v>141.828</v>
      </c>
      <c r="X8" s="12">
        <v>65.400000000000006</v>
      </c>
      <c r="Y8" s="28">
        <f t="shared" si="1"/>
        <v>1750.1040000000003</v>
      </c>
      <c r="Z8" s="12">
        <v>25.9</v>
      </c>
      <c r="AA8" s="28">
        <f t="shared" si="2"/>
        <v>693.08399999999995</v>
      </c>
      <c r="AB8" s="12">
        <v>13.7</v>
      </c>
      <c r="AC8" s="28">
        <f t="shared" si="3"/>
        <v>366.61199999999997</v>
      </c>
      <c r="AD8" s="12">
        <v>12.2</v>
      </c>
      <c r="AE8" s="29">
        <f t="shared" si="4"/>
        <v>326.47199999999998</v>
      </c>
      <c r="AF8" s="30"/>
      <c r="AG8" s="26"/>
      <c r="AH8" s="30">
        <v>71.7</v>
      </c>
      <c r="AI8" s="28">
        <f t="shared" si="6"/>
        <v>1918.692</v>
      </c>
      <c r="AJ8" s="30">
        <v>53.6</v>
      </c>
      <c r="AK8" s="28">
        <f t="shared" si="7"/>
        <v>1028.4189120000001</v>
      </c>
      <c r="AL8" s="12">
        <v>35</v>
      </c>
      <c r="AM8" s="28">
        <f t="shared" si="8"/>
        <v>359.94661920000004</v>
      </c>
      <c r="AN8" s="12">
        <v>34.5</v>
      </c>
      <c r="AO8" s="28">
        <f t="shared" si="9"/>
        <v>354.80452464000001</v>
      </c>
      <c r="AP8" s="12">
        <v>13</v>
      </c>
      <c r="AQ8" s="28">
        <f t="shared" si="10"/>
        <v>133.69445856000002</v>
      </c>
      <c r="AR8" s="12">
        <v>17.3</v>
      </c>
      <c r="AS8" s="28">
        <f t="shared" si="11"/>
        <v>177.91647177600004</v>
      </c>
      <c r="AT8" s="12">
        <v>43.7</v>
      </c>
      <c r="AU8" s="28">
        <f t="shared" si="12"/>
        <v>838.46840399999996</v>
      </c>
      <c r="AV8" s="12">
        <v>18.7</v>
      </c>
      <c r="AW8" s="28">
        <f t="shared" si="13"/>
        <v>156.79359154799999</v>
      </c>
      <c r="AX8" s="12">
        <v>24.5</v>
      </c>
      <c r="AY8" s="28">
        <f t="shared" si="14"/>
        <v>205.42475898000001</v>
      </c>
      <c r="AZ8" s="12">
        <v>4</v>
      </c>
      <c r="BA8" s="28">
        <f t="shared" si="15"/>
        <v>33.538736159999999</v>
      </c>
      <c r="BB8" s="12">
        <v>8.5</v>
      </c>
      <c r="BC8" s="28">
        <f t="shared" si="16"/>
        <v>71.269814339999996</v>
      </c>
      <c r="BD8" s="12">
        <v>44</v>
      </c>
      <c r="BE8" s="28">
        <f t="shared" si="17"/>
        <v>368.92609775999995</v>
      </c>
      <c r="BF8" s="12">
        <v>0.52</v>
      </c>
      <c r="BG8" s="28">
        <f t="shared" si="18"/>
        <v>9.9771984000000007</v>
      </c>
      <c r="BH8" s="12">
        <v>0.54</v>
      </c>
      <c r="BI8" s="28">
        <f t="shared" si="19"/>
        <v>10.360936800000001</v>
      </c>
      <c r="BJ8" s="12">
        <v>1.6</v>
      </c>
      <c r="BK8" s="28">
        <f t="shared" si="20"/>
        <v>30.699072000000001</v>
      </c>
      <c r="BL8" s="12">
        <v>6.6</v>
      </c>
      <c r="BM8" s="12"/>
      <c r="BN8" s="28">
        <f t="shared" si="21"/>
        <v>67.875648192</v>
      </c>
      <c r="BO8" s="12">
        <v>64.900000000000006</v>
      </c>
      <c r="BP8" s="12">
        <v>15.1</v>
      </c>
      <c r="BQ8" s="12">
        <v>27.5</v>
      </c>
      <c r="BR8" s="12">
        <v>32.700000000000003</v>
      </c>
      <c r="BS8" s="12">
        <v>17.3</v>
      </c>
      <c r="BT8" s="12">
        <v>6.6</v>
      </c>
      <c r="BU8" s="12">
        <v>33.1</v>
      </c>
      <c r="BV8" s="28">
        <f t="shared" si="22"/>
        <v>3404066.5987200001</v>
      </c>
      <c r="BW8" s="12">
        <v>21.6</v>
      </c>
      <c r="BX8" s="12">
        <v>23.9</v>
      </c>
      <c r="BY8" s="28">
        <f t="shared" si="23"/>
        <v>813571.91709408001</v>
      </c>
      <c r="BZ8" s="12">
        <v>24.1</v>
      </c>
      <c r="CA8" s="28">
        <f t="shared" si="24"/>
        <v>820380.05029152008</v>
      </c>
      <c r="CB8" s="12">
        <v>16.399999999999999</v>
      </c>
      <c r="CC8" s="28">
        <f t="shared" si="25"/>
        <v>558266.92219007993</v>
      </c>
      <c r="CD8" s="12">
        <v>7.3</v>
      </c>
      <c r="CE8" s="28">
        <f t="shared" si="26"/>
        <v>248496.86170655998</v>
      </c>
      <c r="CF8" s="12">
        <v>6.7</v>
      </c>
      <c r="CG8" s="28">
        <f t="shared" si="27"/>
        <v>228072.46211424001</v>
      </c>
      <c r="CH8" s="12">
        <v>5.3</v>
      </c>
      <c r="CI8" s="28">
        <f t="shared" si="28"/>
        <v>54.506202336000008</v>
      </c>
      <c r="CJ8" s="12">
        <v>9.1999999999999993</v>
      </c>
      <c r="CK8" s="12">
        <v>28.1</v>
      </c>
      <c r="CL8" s="28">
        <f t="shared" si="29"/>
        <v>153162.42856416004</v>
      </c>
      <c r="CM8" s="12">
        <v>26.9</v>
      </c>
      <c r="CN8" s="28">
        <f t="shared" si="30"/>
        <v>14.662168428384001</v>
      </c>
      <c r="CO8" s="12">
        <v>35.799999999999997</v>
      </c>
      <c r="CP8" s="28">
        <f t="shared" si="31"/>
        <v>19.513220436288002</v>
      </c>
      <c r="CQ8" s="12">
        <v>19.3</v>
      </c>
      <c r="CR8" s="28">
        <f t="shared" si="32"/>
        <v>516.46800000000007</v>
      </c>
      <c r="CS8" s="12">
        <v>1.1000000000000001</v>
      </c>
      <c r="CT8" s="28">
        <f t="shared" si="33"/>
        <v>29.436000000000003</v>
      </c>
      <c r="CU8" s="27">
        <v>45869</v>
      </c>
      <c r="CV8" s="11">
        <v>0</v>
      </c>
      <c r="CW8" s="11">
        <v>54</v>
      </c>
      <c r="CX8" s="11">
        <v>3</v>
      </c>
      <c r="CY8" s="11">
        <v>2</v>
      </c>
      <c r="CZ8" s="11" t="s">
        <v>283</v>
      </c>
      <c r="DA8" s="11">
        <v>0</v>
      </c>
      <c r="DB8" s="11" t="s">
        <v>98</v>
      </c>
      <c r="DC8" s="11">
        <v>0.06</v>
      </c>
      <c r="DD8" s="11">
        <v>724</v>
      </c>
      <c r="DE8" s="11">
        <v>107</v>
      </c>
      <c r="DF8" s="11">
        <v>14</v>
      </c>
      <c r="DG8" s="11">
        <v>6815</v>
      </c>
      <c r="DH8" s="11">
        <v>0.106</v>
      </c>
      <c r="DI8" s="11">
        <v>0.15</v>
      </c>
      <c r="DJ8" s="11">
        <v>264</v>
      </c>
      <c r="DK8" s="11">
        <v>10.73</v>
      </c>
      <c r="DL8" s="11" t="s">
        <v>95</v>
      </c>
      <c r="DM8" s="11">
        <v>19</v>
      </c>
      <c r="DN8" s="11"/>
      <c r="DO8" s="11"/>
      <c r="DP8" s="11"/>
      <c r="DQ8" s="11"/>
      <c r="DR8" s="11"/>
      <c r="DS8" s="11"/>
      <c r="DT8" s="11"/>
      <c r="DU8" s="11"/>
      <c r="DV8" s="11">
        <v>270</v>
      </c>
      <c r="DW8" s="11">
        <v>48</v>
      </c>
      <c r="DX8" s="11">
        <v>1</v>
      </c>
      <c r="DY8" s="11"/>
      <c r="DZ8" s="11"/>
      <c r="EA8" s="11"/>
      <c r="EB8" s="11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2</v>
      </c>
      <c r="EL8" s="6">
        <v>0</v>
      </c>
      <c r="EM8" s="6">
        <v>1</v>
      </c>
      <c r="EN8" s="6">
        <v>2</v>
      </c>
      <c r="EO8" s="6">
        <v>1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10" t="s">
        <v>267</v>
      </c>
      <c r="EV8" s="4"/>
      <c r="EW8" s="4"/>
      <c r="EX8" s="4"/>
    </row>
    <row r="9" spans="1:154" s="5" customFormat="1" ht="15.75" customHeight="1">
      <c r="A9" s="12">
        <v>50</v>
      </c>
      <c r="B9" s="12">
        <v>7041072</v>
      </c>
      <c r="C9" s="12" t="s">
        <v>44</v>
      </c>
      <c r="D9" s="12" t="s">
        <v>45</v>
      </c>
      <c r="E9" s="12">
        <v>2932369</v>
      </c>
      <c r="F9" s="12">
        <v>1256641</v>
      </c>
      <c r="G9" s="12">
        <v>4.53</v>
      </c>
      <c r="H9" s="12">
        <v>40.200000000000003</v>
      </c>
      <c r="I9" s="12">
        <v>13.3</v>
      </c>
      <c r="J9" s="12">
        <v>237</v>
      </c>
      <c r="K9" s="12">
        <v>3.68</v>
      </c>
      <c r="L9" s="12">
        <v>64.03</v>
      </c>
      <c r="M9" s="12">
        <v>0.54</v>
      </c>
      <c r="N9" s="12">
        <v>9.42</v>
      </c>
      <c r="O9" s="12">
        <v>0.2</v>
      </c>
      <c r="P9" s="12">
        <v>3.42</v>
      </c>
      <c r="Q9" s="12">
        <v>0.05</v>
      </c>
      <c r="R9" s="12">
        <v>0.79</v>
      </c>
      <c r="S9" s="12">
        <v>1.28</v>
      </c>
      <c r="T9" s="12">
        <v>22.34</v>
      </c>
      <c r="U9" s="12">
        <v>1274</v>
      </c>
      <c r="V9" s="12">
        <v>5.9</v>
      </c>
      <c r="W9" s="28">
        <f t="shared" si="0"/>
        <v>75.165999999999997</v>
      </c>
      <c r="X9" s="12">
        <v>66.400000000000006</v>
      </c>
      <c r="Y9" s="28">
        <f t="shared" si="1"/>
        <v>845.93600000000004</v>
      </c>
      <c r="Z9" s="12">
        <v>26.9</v>
      </c>
      <c r="AA9" s="28">
        <f t="shared" si="2"/>
        <v>342.70599999999996</v>
      </c>
      <c r="AB9" s="12">
        <v>10.6</v>
      </c>
      <c r="AC9" s="28">
        <f t="shared" si="3"/>
        <v>135.04399999999998</v>
      </c>
      <c r="AD9" s="12">
        <v>15.8</v>
      </c>
      <c r="AE9" s="29">
        <f t="shared" si="4"/>
        <v>201.292</v>
      </c>
      <c r="AF9" s="30">
        <v>0.51</v>
      </c>
      <c r="AG9" s="29">
        <f t="shared" si="5"/>
        <v>6.4973999999999998</v>
      </c>
      <c r="AH9" s="30">
        <v>61.5</v>
      </c>
      <c r="AI9" s="28">
        <f t="shared" si="6"/>
        <v>783.51</v>
      </c>
      <c r="AJ9" s="30">
        <v>61.8</v>
      </c>
      <c r="AK9" s="28">
        <f t="shared" si="7"/>
        <v>484.20918</v>
      </c>
      <c r="AL9" s="12">
        <v>23.6</v>
      </c>
      <c r="AM9" s="28">
        <f t="shared" si="8"/>
        <v>114.27336648000001</v>
      </c>
      <c r="AN9" s="12">
        <v>56.6</v>
      </c>
      <c r="AO9" s="28">
        <f t="shared" si="9"/>
        <v>274.06239588</v>
      </c>
      <c r="AP9" s="12">
        <v>17.899999999999999</v>
      </c>
      <c r="AQ9" s="28">
        <f t="shared" si="10"/>
        <v>86.673443219999996</v>
      </c>
      <c r="AR9" s="12">
        <v>1.8</v>
      </c>
      <c r="AS9" s="28">
        <f t="shared" si="11"/>
        <v>8.7157652400000014</v>
      </c>
      <c r="AT9" s="12">
        <v>33.700000000000003</v>
      </c>
      <c r="AU9" s="28">
        <f t="shared" si="12"/>
        <v>264.04286999999999</v>
      </c>
      <c r="AV9" s="12">
        <v>7.8</v>
      </c>
      <c r="AW9" s="28">
        <f t="shared" si="13"/>
        <v>20.59534386</v>
      </c>
      <c r="AX9" s="12">
        <v>32.799999999999997</v>
      </c>
      <c r="AY9" s="28">
        <f t="shared" si="14"/>
        <v>86.606061359999984</v>
      </c>
      <c r="AZ9" s="12">
        <v>24.7</v>
      </c>
      <c r="BA9" s="28">
        <f t="shared" si="15"/>
        <v>65.218588890000007</v>
      </c>
      <c r="BB9" s="12">
        <v>5.2</v>
      </c>
      <c r="BC9" s="28">
        <f t="shared" si="16"/>
        <v>13.730229240000002</v>
      </c>
      <c r="BD9" s="12">
        <v>29.5</v>
      </c>
      <c r="BE9" s="28">
        <f t="shared" si="17"/>
        <v>77.892646650000003</v>
      </c>
      <c r="BF9" s="12">
        <v>0.48</v>
      </c>
      <c r="BG9" s="28">
        <f t="shared" si="18"/>
        <v>3.7608479999999997</v>
      </c>
      <c r="BH9" s="12">
        <v>0.91</v>
      </c>
      <c r="BI9" s="28">
        <f t="shared" si="19"/>
        <v>7.1299409999999996</v>
      </c>
      <c r="BJ9" s="12">
        <v>3.1</v>
      </c>
      <c r="BK9" s="28">
        <f t="shared" si="20"/>
        <v>24.288809999999998</v>
      </c>
      <c r="BL9" s="12">
        <v>7.5</v>
      </c>
      <c r="BM9" s="12"/>
      <c r="BN9" s="28">
        <f t="shared" si="21"/>
        <v>36.3156885</v>
      </c>
      <c r="BO9" s="12">
        <v>64.400000000000006</v>
      </c>
      <c r="BP9" s="12">
        <v>24.4</v>
      </c>
      <c r="BQ9" s="12">
        <v>20.8</v>
      </c>
      <c r="BR9" s="12">
        <v>21.8</v>
      </c>
      <c r="BS9" s="12">
        <v>11.5</v>
      </c>
      <c r="BT9" s="12">
        <v>8.4</v>
      </c>
      <c r="BU9" s="12">
        <v>56.2</v>
      </c>
      <c r="BV9" s="28">
        <f t="shared" si="22"/>
        <v>2721255.5915999999</v>
      </c>
      <c r="BW9" s="12">
        <v>47.1</v>
      </c>
      <c r="BX9" s="12">
        <v>7.6</v>
      </c>
      <c r="BY9" s="28">
        <f t="shared" si="23"/>
        <v>206815.42496159996</v>
      </c>
      <c r="BZ9" s="12">
        <v>21.5</v>
      </c>
      <c r="CA9" s="28">
        <f t="shared" si="24"/>
        <v>585069.95219400001</v>
      </c>
      <c r="CB9" s="12">
        <v>11.1</v>
      </c>
      <c r="CC9" s="28">
        <f t="shared" si="25"/>
        <v>302059.37066760001</v>
      </c>
      <c r="CD9" s="12">
        <v>9.5</v>
      </c>
      <c r="CE9" s="28">
        <f t="shared" si="26"/>
        <v>258519.28120200001</v>
      </c>
      <c r="CF9" s="12">
        <v>3.2</v>
      </c>
      <c r="CG9" s="28">
        <f t="shared" si="27"/>
        <v>87080.178931200004</v>
      </c>
      <c r="CH9" s="12">
        <v>8.9</v>
      </c>
      <c r="CI9" s="28">
        <f t="shared" si="28"/>
        <v>43.094617020000008</v>
      </c>
      <c r="CJ9" s="12">
        <v>8.1</v>
      </c>
      <c r="CK9" s="12">
        <v>34</v>
      </c>
      <c r="CL9" s="28">
        <f t="shared" si="29"/>
        <v>146521.69786800002</v>
      </c>
      <c r="CM9" s="12">
        <v>21.7</v>
      </c>
      <c r="CN9" s="28">
        <f t="shared" si="30"/>
        <v>9.3515318933400007</v>
      </c>
      <c r="CO9" s="12">
        <v>36.200000000000003</v>
      </c>
      <c r="CP9" s="28">
        <f t="shared" si="31"/>
        <v>15.600251361240005</v>
      </c>
      <c r="CQ9" s="12">
        <v>23.8</v>
      </c>
      <c r="CR9" s="28">
        <f t="shared" si="32"/>
        <v>303.21199999999999</v>
      </c>
      <c r="CS9" s="12">
        <v>0.67</v>
      </c>
      <c r="CT9" s="28">
        <f t="shared" si="33"/>
        <v>8.5358000000000001</v>
      </c>
      <c r="CU9" s="27">
        <v>45932</v>
      </c>
      <c r="CV9" s="11">
        <v>1</v>
      </c>
      <c r="CW9" s="11">
        <v>69</v>
      </c>
      <c r="CX9" s="11">
        <v>1</v>
      </c>
      <c r="CY9" s="11">
        <v>1</v>
      </c>
      <c r="CZ9" s="11" t="s">
        <v>93</v>
      </c>
      <c r="DA9" s="11">
        <v>1</v>
      </c>
      <c r="DB9" s="11" t="s">
        <v>396</v>
      </c>
      <c r="DC9" s="11"/>
      <c r="DD9" s="11">
        <v>627</v>
      </c>
      <c r="DE9" s="11">
        <v>372</v>
      </c>
      <c r="DF9" s="11">
        <v>54</v>
      </c>
      <c r="DG9" s="11">
        <v>9928</v>
      </c>
      <c r="DH9" s="11">
        <v>6.3E-2</v>
      </c>
      <c r="DI9" s="11">
        <v>0.59</v>
      </c>
      <c r="DJ9" s="11">
        <v>657</v>
      </c>
      <c r="DK9" s="11"/>
      <c r="DL9" s="11" t="s">
        <v>96</v>
      </c>
      <c r="DM9" s="11">
        <v>19</v>
      </c>
      <c r="DN9" s="11">
        <v>4</v>
      </c>
      <c r="DO9" s="11">
        <v>0.5</v>
      </c>
      <c r="DP9" s="11">
        <v>1</v>
      </c>
      <c r="DQ9" s="11">
        <v>1</v>
      </c>
      <c r="DR9" s="11">
        <v>1</v>
      </c>
      <c r="DS9" s="11">
        <v>0.5</v>
      </c>
      <c r="DT9" s="11">
        <v>0.5</v>
      </c>
      <c r="DU9" s="11">
        <v>0</v>
      </c>
      <c r="DV9" s="11">
        <v>297</v>
      </c>
      <c r="DW9" s="11">
        <v>52</v>
      </c>
      <c r="DX9" s="11"/>
      <c r="DY9" s="11"/>
      <c r="DZ9" s="11"/>
      <c r="EA9" s="11"/>
      <c r="EB9" s="11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1</v>
      </c>
      <c r="EL9" s="6">
        <v>0</v>
      </c>
      <c r="EM9" s="6">
        <v>0</v>
      </c>
      <c r="EN9" s="6">
        <v>1</v>
      </c>
      <c r="EO9" s="6">
        <v>0</v>
      </c>
      <c r="EP9" s="6">
        <v>1</v>
      </c>
      <c r="EQ9" s="6">
        <v>0</v>
      </c>
      <c r="ER9" s="6">
        <v>0</v>
      </c>
      <c r="ES9" s="6">
        <v>0</v>
      </c>
      <c r="ET9" s="6">
        <v>1</v>
      </c>
      <c r="EU9" s="11"/>
      <c r="EV9" s="4"/>
      <c r="EW9" s="4"/>
      <c r="EX9" s="4"/>
    </row>
    <row r="10" spans="1:154" s="5" customFormat="1" ht="15.75" customHeight="1">
      <c r="A10" s="12">
        <v>43</v>
      </c>
      <c r="B10" s="12">
        <v>7040744</v>
      </c>
      <c r="C10" s="12" t="s">
        <v>46</v>
      </c>
      <c r="D10" s="12" t="s">
        <v>47</v>
      </c>
      <c r="E10" s="12">
        <v>2961597</v>
      </c>
      <c r="F10" s="12">
        <v>1275210</v>
      </c>
      <c r="G10" s="12">
        <v>4.9400000000000004</v>
      </c>
      <c r="H10" s="12">
        <v>43.8</v>
      </c>
      <c r="I10" s="12">
        <v>15</v>
      </c>
      <c r="J10" s="12">
        <v>163</v>
      </c>
      <c r="K10" s="12">
        <v>3.09</v>
      </c>
      <c r="L10" s="12">
        <v>54.11</v>
      </c>
      <c r="M10" s="12">
        <v>0.33</v>
      </c>
      <c r="N10" s="12">
        <v>5.8</v>
      </c>
      <c r="O10" s="12">
        <v>0.13</v>
      </c>
      <c r="P10" s="12">
        <v>2.2599999999999998</v>
      </c>
      <c r="Q10" s="12">
        <v>0.05</v>
      </c>
      <c r="R10" s="12">
        <v>0.81</v>
      </c>
      <c r="S10" s="12">
        <v>2.11</v>
      </c>
      <c r="T10" s="12">
        <v>37.020000000000003</v>
      </c>
      <c r="U10" s="12">
        <v>2294</v>
      </c>
      <c r="V10" s="12">
        <v>10.199999999999999</v>
      </c>
      <c r="W10" s="28">
        <f t="shared" si="0"/>
        <v>233.988</v>
      </c>
      <c r="X10" s="12">
        <v>48.3</v>
      </c>
      <c r="Y10" s="28">
        <f t="shared" si="1"/>
        <v>1108.002</v>
      </c>
      <c r="Z10" s="12">
        <v>46.7</v>
      </c>
      <c r="AA10" s="28">
        <f t="shared" si="2"/>
        <v>1071.298</v>
      </c>
      <c r="AB10" s="12">
        <v>28.1</v>
      </c>
      <c r="AC10" s="28">
        <f t="shared" si="3"/>
        <v>644.61400000000003</v>
      </c>
      <c r="AD10" s="12">
        <v>17.8</v>
      </c>
      <c r="AE10" s="29">
        <f t="shared" si="4"/>
        <v>408.33200000000005</v>
      </c>
      <c r="AF10" s="30">
        <v>0.82</v>
      </c>
      <c r="AG10" s="29">
        <f t="shared" si="5"/>
        <v>18.8108</v>
      </c>
      <c r="AH10" s="30">
        <v>72.900000000000006</v>
      </c>
      <c r="AI10" s="28">
        <f t="shared" si="6"/>
        <v>1672.326</v>
      </c>
      <c r="AJ10" s="30">
        <v>59.7</v>
      </c>
      <c r="AK10" s="28">
        <f t="shared" si="7"/>
        <v>998.37862200000006</v>
      </c>
      <c r="AL10" s="12">
        <v>34.799999999999997</v>
      </c>
      <c r="AM10" s="28">
        <f t="shared" si="8"/>
        <v>347.43576045599997</v>
      </c>
      <c r="AN10" s="12">
        <v>40.200000000000003</v>
      </c>
      <c r="AO10" s="28">
        <f t="shared" si="9"/>
        <v>401.34820604400005</v>
      </c>
      <c r="AP10" s="12">
        <v>17.8</v>
      </c>
      <c r="AQ10" s="28">
        <f t="shared" si="10"/>
        <v>177.71139471600003</v>
      </c>
      <c r="AR10" s="12">
        <v>7.1</v>
      </c>
      <c r="AS10" s="28">
        <f t="shared" si="11"/>
        <v>70.884882161999997</v>
      </c>
      <c r="AT10" s="12">
        <v>36.4</v>
      </c>
      <c r="AU10" s="28">
        <f t="shared" si="12"/>
        <v>608.72666400000003</v>
      </c>
      <c r="AV10" s="12">
        <v>14.2</v>
      </c>
      <c r="AW10" s="28">
        <f t="shared" si="13"/>
        <v>86.439186288000002</v>
      </c>
      <c r="AX10" s="12">
        <v>26.6</v>
      </c>
      <c r="AY10" s="28">
        <f t="shared" si="14"/>
        <v>161.92129262400002</v>
      </c>
      <c r="AZ10" s="12">
        <v>4.7</v>
      </c>
      <c r="BA10" s="28">
        <f t="shared" si="15"/>
        <v>28.610153208</v>
      </c>
      <c r="BB10" s="12">
        <v>7.9</v>
      </c>
      <c r="BC10" s="28">
        <f t="shared" si="16"/>
        <v>48.089406456000006</v>
      </c>
      <c r="BD10" s="12">
        <v>46.5</v>
      </c>
      <c r="BE10" s="28">
        <f t="shared" si="17"/>
        <v>283.05789876</v>
      </c>
      <c r="BF10" s="12">
        <v>6.3E-2</v>
      </c>
      <c r="BG10" s="28">
        <f t="shared" si="18"/>
        <v>1.05356538</v>
      </c>
      <c r="BH10" s="12">
        <v>0.43</v>
      </c>
      <c r="BI10" s="28">
        <f t="shared" si="19"/>
        <v>7.1910018000000004</v>
      </c>
      <c r="BJ10" s="12">
        <v>3.4</v>
      </c>
      <c r="BK10" s="28">
        <f t="shared" si="20"/>
        <v>56.859084000000003</v>
      </c>
      <c r="BL10" s="12">
        <v>6.5</v>
      </c>
      <c r="BM10" s="12"/>
      <c r="BN10" s="28">
        <f t="shared" si="21"/>
        <v>64.89461043</v>
      </c>
      <c r="BO10" s="12">
        <v>54.1</v>
      </c>
      <c r="BP10" s="12">
        <v>27.9</v>
      </c>
      <c r="BQ10" s="12">
        <v>8.1</v>
      </c>
      <c r="BR10" s="12">
        <v>21.9</v>
      </c>
      <c r="BS10" s="12">
        <v>13.9</v>
      </c>
      <c r="BT10" s="12">
        <v>13.6</v>
      </c>
      <c r="BU10" s="12">
        <v>43</v>
      </c>
      <c r="BV10" s="28">
        <f t="shared" si="22"/>
        <v>4293028.0745999999</v>
      </c>
      <c r="BW10" s="12">
        <v>26.5</v>
      </c>
      <c r="BX10" s="12">
        <v>19.399999999999999</v>
      </c>
      <c r="BY10" s="28">
        <f t="shared" si="23"/>
        <v>832847.44647239998</v>
      </c>
      <c r="BZ10" s="12">
        <v>38.200000000000003</v>
      </c>
      <c r="CA10" s="28">
        <f t="shared" si="24"/>
        <v>1639936.7244972</v>
      </c>
      <c r="CB10" s="12">
        <v>3.4</v>
      </c>
      <c r="CC10" s="28">
        <f t="shared" si="25"/>
        <v>145962.95453639998</v>
      </c>
      <c r="CD10" s="12">
        <v>6.9</v>
      </c>
      <c r="CE10" s="28">
        <f t="shared" si="26"/>
        <v>296218.93714739999</v>
      </c>
      <c r="CF10" s="12">
        <v>5.6</v>
      </c>
      <c r="CG10" s="28">
        <f t="shared" si="27"/>
        <v>240409.57217759997</v>
      </c>
      <c r="CH10" s="12">
        <v>12.3</v>
      </c>
      <c r="CI10" s="28">
        <f t="shared" si="28"/>
        <v>122.80057050600003</v>
      </c>
      <c r="CJ10" s="12">
        <v>16.3</v>
      </c>
      <c r="CK10" s="12">
        <v>33.5</v>
      </c>
      <c r="CL10" s="28">
        <f t="shared" si="29"/>
        <v>411381.91119510011</v>
      </c>
      <c r="CM10" s="12">
        <v>12.9</v>
      </c>
      <c r="CN10" s="28">
        <f t="shared" si="30"/>
        <v>15.841273595274004</v>
      </c>
      <c r="CO10" s="12">
        <v>37.299999999999997</v>
      </c>
      <c r="CP10" s="28">
        <f t="shared" si="31"/>
        <v>45.804612798738006</v>
      </c>
      <c r="CQ10" s="12">
        <v>13.8</v>
      </c>
      <c r="CR10" s="28">
        <f t="shared" si="32"/>
        <v>316.572</v>
      </c>
      <c r="CS10" s="12">
        <v>8.1000000000000003E-2</v>
      </c>
      <c r="CT10" s="28">
        <f t="shared" si="33"/>
        <v>1.8581399999999999</v>
      </c>
      <c r="CU10" s="27">
        <v>45911</v>
      </c>
      <c r="CV10" s="11">
        <v>0</v>
      </c>
      <c r="CW10" s="11">
        <v>67</v>
      </c>
      <c r="CX10" s="11">
        <v>1</v>
      </c>
      <c r="CY10" s="11">
        <v>1</v>
      </c>
      <c r="CZ10" s="11" t="s">
        <v>93</v>
      </c>
      <c r="DA10" s="11">
        <v>1</v>
      </c>
      <c r="DB10" s="11" t="s">
        <v>99</v>
      </c>
      <c r="DC10" s="11">
        <v>0.69</v>
      </c>
      <c r="DD10" s="11">
        <v>663</v>
      </c>
      <c r="DE10" s="11">
        <v>626</v>
      </c>
      <c r="DF10" s="11">
        <v>97</v>
      </c>
      <c r="DG10" s="11">
        <v>13848</v>
      </c>
      <c r="DH10" s="11">
        <v>4.8000000000000001E-2</v>
      </c>
      <c r="DI10" s="11">
        <v>0.94</v>
      </c>
      <c r="DJ10" s="11">
        <v>740</v>
      </c>
      <c r="DK10" s="11">
        <v>21.92</v>
      </c>
      <c r="DL10" s="11" t="s">
        <v>100</v>
      </c>
      <c r="DM10" s="11">
        <v>20</v>
      </c>
      <c r="DN10" s="11">
        <v>1.5</v>
      </c>
      <c r="DO10" s="11">
        <v>0.5</v>
      </c>
      <c r="DP10" s="11">
        <v>0.5</v>
      </c>
      <c r="DQ10" s="11">
        <v>0.5</v>
      </c>
      <c r="DR10" s="11">
        <v>0.5</v>
      </c>
      <c r="DS10" s="11">
        <v>0</v>
      </c>
      <c r="DT10" s="11">
        <v>0</v>
      </c>
      <c r="DU10" s="11">
        <v>0</v>
      </c>
      <c r="DV10" s="11">
        <v>315</v>
      </c>
      <c r="DW10" s="11">
        <v>54</v>
      </c>
      <c r="DX10" s="11"/>
      <c r="DY10" s="11"/>
      <c r="DZ10" s="11"/>
      <c r="EA10" s="11"/>
      <c r="EB10" s="11">
        <v>0</v>
      </c>
      <c r="EC10" s="6">
        <v>0</v>
      </c>
      <c r="ED10" s="6">
        <v>1</v>
      </c>
      <c r="EE10" s="6">
        <v>0</v>
      </c>
      <c r="EF10" s="6">
        <v>0</v>
      </c>
      <c r="EG10" s="6">
        <v>0</v>
      </c>
      <c r="EH10" s="6">
        <v>1</v>
      </c>
      <c r="EI10" s="6">
        <v>0</v>
      </c>
      <c r="EJ10" s="6">
        <v>0</v>
      </c>
      <c r="EK10" s="6">
        <v>2</v>
      </c>
      <c r="EL10" s="6">
        <v>1</v>
      </c>
      <c r="EM10" s="6">
        <v>1</v>
      </c>
      <c r="EN10" s="6">
        <v>1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10" t="s">
        <v>268</v>
      </c>
      <c r="EV10" s="4"/>
      <c r="EW10" s="4"/>
      <c r="EX10" s="4"/>
    </row>
    <row r="11" spans="1:154" s="5" customFormat="1" ht="15.75" customHeight="1">
      <c r="A11" s="12">
        <v>34</v>
      </c>
      <c r="B11" s="12">
        <v>7040337</v>
      </c>
      <c r="C11" s="12" t="s">
        <v>48</v>
      </c>
      <c r="D11" s="12" t="s">
        <v>49</v>
      </c>
      <c r="E11" s="12">
        <v>2978229</v>
      </c>
      <c r="F11" s="12">
        <v>1324942</v>
      </c>
      <c r="G11" s="12">
        <v>4.53</v>
      </c>
      <c r="H11" s="12">
        <v>41.4</v>
      </c>
      <c r="I11" s="12">
        <v>13.9</v>
      </c>
      <c r="J11" s="12">
        <v>147</v>
      </c>
      <c r="K11" s="12">
        <v>2.17</v>
      </c>
      <c r="L11" s="12">
        <v>55.67</v>
      </c>
      <c r="M11" s="12">
        <v>0.32</v>
      </c>
      <c r="N11" s="12">
        <v>8.27</v>
      </c>
      <c r="O11" s="12">
        <v>0</v>
      </c>
      <c r="P11" s="12">
        <v>0</v>
      </c>
      <c r="Q11" s="12">
        <v>0</v>
      </c>
      <c r="R11" s="12">
        <v>0.11</v>
      </c>
      <c r="S11" s="12">
        <v>1.4</v>
      </c>
      <c r="T11" s="12">
        <v>35.950000000000003</v>
      </c>
      <c r="U11" s="12">
        <v>1856</v>
      </c>
      <c r="V11" s="12">
        <v>10.8</v>
      </c>
      <c r="W11" s="28">
        <f t="shared" si="0"/>
        <v>200.44800000000004</v>
      </c>
      <c r="X11" s="12">
        <v>80.400000000000006</v>
      </c>
      <c r="Y11" s="28">
        <f t="shared" si="1"/>
        <v>1492.2240000000002</v>
      </c>
      <c r="Z11" s="12">
        <v>16.5</v>
      </c>
      <c r="AA11" s="28">
        <f t="shared" si="2"/>
        <v>306.24</v>
      </c>
      <c r="AB11" s="12">
        <v>6</v>
      </c>
      <c r="AC11" s="28">
        <f t="shared" si="3"/>
        <v>111.36</v>
      </c>
      <c r="AD11" s="12">
        <v>10.5</v>
      </c>
      <c r="AE11" s="29">
        <f t="shared" si="4"/>
        <v>194.88</v>
      </c>
      <c r="AF11" s="30"/>
      <c r="AG11" s="26"/>
      <c r="AH11" s="30">
        <v>74.900000000000006</v>
      </c>
      <c r="AI11" s="28">
        <f t="shared" si="6"/>
        <v>1390.1440000000002</v>
      </c>
      <c r="AJ11" s="30">
        <v>60.8</v>
      </c>
      <c r="AK11" s="28">
        <f t="shared" si="7"/>
        <v>845.20755200000019</v>
      </c>
      <c r="AL11" s="12">
        <v>44.7</v>
      </c>
      <c r="AM11" s="28">
        <f t="shared" si="8"/>
        <v>377.80777574400008</v>
      </c>
      <c r="AN11" s="12">
        <v>33.799999999999997</v>
      </c>
      <c r="AO11" s="28">
        <f t="shared" si="9"/>
        <v>285.68015257600001</v>
      </c>
      <c r="AP11" s="12">
        <v>12.7</v>
      </c>
      <c r="AQ11" s="28">
        <f t="shared" si="10"/>
        <v>107.34135910400002</v>
      </c>
      <c r="AR11" s="12">
        <v>7.7</v>
      </c>
      <c r="AS11" s="28">
        <f t="shared" si="11"/>
        <v>65.080981504000022</v>
      </c>
      <c r="AT11" s="12">
        <v>36.200000000000003</v>
      </c>
      <c r="AU11" s="28">
        <f t="shared" si="12"/>
        <v>503.23212800000016</v>
      </c>
      <c r="AV11" s="12">
        <v>32.299999999999997</v>
      </c>
      <c r="AW11" s="28">
        <f t="shared" si="13"/>
        <v>162.54397734400004</v>
      </c>
      <c r="AX11" s="12">
        <v>34.4</v>
      </c>
      <c r="AY11" s="28">
        <f t="shared" si="14"/>
        <v>173.11185203200006</v>
      </c>
      <c r="AZ11" s="12">
        <v>4.2</v>
      </c>
      <c r="BA11" s="28">
        <f t="shared" si="15"/>
        <v>21.135749376000007</v>
      </c>
      <c r="BB11" s="12">
        <v>1.6</v>
      </c>
      <c r="BC11" s="28">
        <f t="shared" si="16"/>
        <v>8.0517140480000027</v>
      </c>
      <c r="BD11" s="12">
        <v>27</v>
      </c>
      <c r="BE11" s="28">
        <f t="shared" si="17"/>
        <v>135.87267456000006</v>
      </c>
      <c r="BF11" s="12">
        <v>0.73</v>
      </c>
      <c r="BG11" s="28">
        <f t="shared" si="18"/>
        <v>10.148051200000001</v>
      </c>
      <c r="BH11" s="12">
        <v>1.8</v>
      </c>
      <c r="BI11" s="28">
        <f t="shared" si="19"/>
        <v>25.022592000000003</v>
      </c>
      <c r="BJ11" s="12">
        <v>0.44</v>
      </c>
      <c r="BK11" s="28">
        <f t="shared" si="20"/>
        <v>6.116633600000001</v>
      </c>
      <c r="BL11" s="12">
        <v>9.5</v>
      </c>
      <c r="BM11" s="12"/>
      <c r="BN11" s="28">
        <f t="shared" si="21"/>
        <v>80.294717440000028</v>
      </c>
      <c r="BO11" s="12">
        <v>56.1</v>
      </c>
      <c r="BP11" s="12">
        <v>23.5</v>
      </c>
      <c r="BQ11" s="12">
        <v>14.6</v>
      </c>
      <c r="BR11" s="12">
        <v>20</v>
      </c>
      <c r="BS11" s="12">
        <v>15.7</v>
      </c>
      <c r="BT11" s="12">
        <v>13.5</v>
      </c>
      <c r="BU11" s="12">
        <v>30.7</v>
      </c>
      <c r="BV11" s="28">
        <f t="shared" si="22"/>
        <v>2594787.1846400006</v>
      </c>
      <c r="BW11" s="12">
        <v>24.5</v>
      </c>
      <c r="BX11" s="12">
        <v>22.5</v>
      </c>
      <c r="BY11" s="28">
        <f t="shared" si="23"/>
        <v>583827.11654400011</v>
      </c>
      <c r="BZ11" s="12">
        <v>35.1</v>
      </c>
      <c r="CA11" s="28">
        <f t="shared" si="24"/>
        <v>910770.30180864024</v>
      </c>
      <c r="CB11" s="12">
        <v>8.4</v>
      </c>
      <c r="CC11" s="28">
        <f t="shared" si="25"/>
        <v>217962.12350976004</v>
      </c>
      <c r="CD11" s="12">
        <v>6.6</v>
      </c>
      <c r="CE11" s="28">
        <f t="shared" si="26"/>
        <v>171255.95418624004</v>
      </c>
      <c r="CF11" s="12">
        <v>2.9</v>
      </c>
      <c r="CG11" s="28">
        <f t="shared" si="27"/>
        <v>75248.828354560013</v>
      </c>
      <c r="CH11" s="12">
        <v>8.4</v>
      </c>
      <c r="CI11" s="28">
        <f t="shared" si="28"/>
        <v>70.997434368000029</v>
      </c>
      <c r="CJ11" s="12">
        <v>10.6</v>
      </c>
      <c r="CK11" s="12">
        <v>47</v>
      </c>
      <c r="CL11" s="28">
        <f t="shared" si="29"/>
        <v>333687.94152960012</v>
      </c>
      <c r="CM11" s="12">
        <v>15.9</v>
      </c>
      <c r="CN11" s="28">
        <f t="shared" si="30"/>
        <v>11.288592064512004</v>
      </c>
      <c r="CO11" s="12">
        <v>26.5</v>
      </c>
      <c r="CP11" s="28">
        <f t="shared" si="31"/>
        <v>18.814320107520007</v>
      </c>
      <c r="CQ11" s="12">
        <v>13.3</v>
      </c>
      <c r="CR11" s="28">
        <f t="shared" si="32"/>
        <v>246.84800000000004</v>
      </c>
      <c r="CS11" s="12">
        <v>0</v>
      </c>
      <c r="CT11" s="28">
        <f t="shared" si="33"/>
        <v>0</v>
      </c>
      <c r="CU11" s="27">
        <v>45891</v>
      </c>
      <c r="CV11" s="11">
        <v>1</v>
      </c>
      <c r="CW11" s="11">
        <v>52</v>
      </c>
      <c r="CX11" s="11">
        <v>1</v>
      </c>
      <c r="CY11" s="11">
        <v>1</v>
      </c>
      <c r="CZ11" s="11" t="s">
        <v>93</v>
      </c>
      <c r="DA11" s="11">
        <v>1</v>
      </c>
      <c r="DB11" s="11" t="s">
        <v>101</v>
      </c>
      <c r="DC11" s="11">
        <v>1.56</v>
      </c>
      <c r="DD11" s="11">
        <v>368</v>
      </c>
      <c r="DE11" s="31">
        <v>739</v>
      </c>
      <c r="DF11" s="11">
        <v>104</v>
      </c>
      <c r="DG11" s="11">
        <v>8604</v>
      </c>
      <c r="DH11" s="11">
        <v>4.2999999999999997E-2</v>
      </c>
      <c r="DI11" s="11">
        <v>2.0099999999999998</v>
      </c>
      <c r="DJ11" s="11">
        <v>1067</v>
      </c>
      <c r="DK11" s="11">
        <v>26.3</v>
      </c>
      <c r="DL11" s="11" t="s">
        <v>95</v>
      </c>
      <c r="DM11" s="11">
        <v>17</v>
      </c>
      <c r="DN11" s="11">
        <v>9</v>
      </c>
      <c r="DO11" s="11">
        <v>2</v>
      </c>
      <c r="DP11" s="11">
        <v>3</v>
      </c>
      <c r="DQ11" s="11">
        <v>2</v>
      </c>
      <c r="DR11" s="11">
        <v>2</v>
      </c>
      <c r="DS11" s="11">
        <v>1</v>
      </c>
      <c r="DT11" s="11">
        <v>1</v>
      </c>
      <c r="DU11" s="11">
        <v>0</v>
      </c>
      <c r="DV11" s="11"/>
      <c r="DW11" s="11"/>
      <c r="DX11" s="11">
        <v>0</v>
      </c>
      <c r="DY11" s="11"/>
      <c r="DZ11" s="11"/>
      <c r="EA11" s="11"/>
      <c r="EB11" s="11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3</v>
      </c>
      <c r="EL11" s="6">
        <v>0</v>
      </c>
      <c r="EM11" s="6">
        <v>0</v>
      </c>
      <c r="EN11" s="6">
        <v>3</v>
      </c>
      <c r="EO11" s="6">
        <v>0</v>
      </c>
      <c r="EP11" s="6">
        <v>1</v>
      </c>
      <c r="EQ11" s="6">
        <v>0</v>
      </c>
      <c r="ER11" s="6">
        <v>0</v>
      </c>
      <c r="ES11" s="6">
        <v>0</v>
      </c>
      <c r="ET11" s="6">
        <v>0</v>
      </c>
      <c r="EU11" s="9" t="s">
        <v>269</v>
      </c>
      <c r="EV11" s="4"/>
      <c r="EW11" s="4"/>
      <c r="EX11" s="4"/>
    </row>
    <row r="12" spans="1:154" s="5" customFormat="1" ht="15.75" customHeight="1">
      <c r="A12" s="12">
        <v>77</v>
      </c>
      <c r="B12" s="12">
        <v>7042473</v>
      </c>
      <c r="C12" s="12" t="s">
        <v>50</v>
      </c>
      <c r="D12" s="12" t="s">
        <v>51</v>
      </c>
      <c r="E12" s="12">
        <v>2915163</v>
      </c>
      <c r="F12" s="12">
        <v>1355397</v>
      </c>
      <c r="G12" s="12">
        <v>4.9000000000000004</v>
      </c>
      <c r="H12" s="12">
        <v>38</v>
      </c>
      <c r="I12" s="12">
        <v>12.5</v>
      </c>
      <c r="J12" s="12">
        <v>265</v>
      </c>
      <c r="K12" s="12">
        <v>5.24</v>
      </c>
      <c r="L12" s="12">
        <v>64.2</v>
      </c>
      <c r="M12" s="12">
        <v>0.96</v>
      </c>
      <c r="N12" s="12">
        <v>11.81</v>
      </c>
      <c r="O12" s="12">
        <v>0.1</v>
      </c>
      <c r="P12" s="12">
        <v>1.18</v>
      </c>
      <c r="Q12" s="12">
        <v>0.06</v>
      </c>
      <c r="R12" s="12">
        <v>0.68</v>
      </c>
      <c r="S12" s="12">
        <v>1.81</v>
      </c>
      <c r="T12" s="12">
        <v>22.13</v>
      </c>
      <c r="U12" s="12">
        <v>1179</v>
      </c>
      <c r="V12" s="12">
        <v>15.4</v>
      </c>
      <c r="W12" s="28">
        <f t="shared" si="0"/>
        <v>181.56600000000003</v>
      </c>
      <c r="X12" s="12">
        <v>88.9</v>
      </c>
      <c r="Y12" s="28">
        <f t="shared" si="1"/>
        <v>1048.1310000000001</v>
      </c>
      <c r="Z12" s="12">
        <v>10.9</v>
      </c>
      <c r="AA12" s="28">
        <f t="shared" si="2"/>
        <v>128.511</v>
      </c>
      <c r="AB12" s="12">
        <v>4</v>
      </c>
      <c r="AC12" s="28">
        <f t="shared" si="3"/>
        <v>47.16</v>
      </c>
      <c r="AD12" s="12">
        <v>6.8</v>
      </c>
      <c r="AE12" s="29">
        <f t="shared" si="4"/>
        <v>80.171999999999997</v>
      </c>
      <c r="AF12" s="30">
        <v>5.5E-2</v>
      </c>
      <c r="AG12" s="29">
        <f t="shared" si="5"/>
        <v>0.64844999999999997</v>
      </c>
      <c r="AH12" s="30">
        <v>57.8</v>
      </c>
      <c r="AI12" s="28">
        <f t="shared" si="6"/>
        <v>681.46199999999999</v>
      </c>
      <c r="AJ12" s="30">
        <v>77.900000000000006</v>
      </c>
      <c r="AK12" s="28">
        <f t="shared" si="7"/>
        <v>530.85889800000007</v>
      </c>
      <c r="AL12" s="12">
        <v>25.1</v>
      </c>
      <c r="AM12" s="28">
        <f t="shared" si="8"/>
        <v>133.24558339800001</v>
      </c>
      <c r="AN12" s="12">
        <v>62.3</v>
      </c>
      <c r="AO12" s="28">
        <f t="shared" si="9"/>
        <v>330.72509345399999</v>
      </c>
      <c r="AP12" s="12">
        <v>11.5</v>
      </c>
      <c r="AQ12" s="28">
        <f t="shared" si="10"/>
        <v>61.048773270000012</v>
      </c>
      <c r="AR12" s="12">
        <v>1.1000000000000001</v>
      </c>
      <c r="AS12" s="28">
        <f t="shared" si="11"/>
        <v>5.8394478780000005</v>
      </c>
      <c r="AT12" s="12">
        <v>19.600000000000001</v>
      </c>
      <c r="AU12" s="28">
        <f t="shared" si="12"/>
        <v>133.566552</v>
      </c>
      <c r="AV12" s="12">
        <v>12.2</v>
      </c>
      <c r="AW12" s="28">
        <f t="shared" si="13"/>
        <v>16.295119344</v>
      </c>
      <c r="AX12" s="12">
        <v>47.5</v>
      </c>
      <c r="AY12" s="28">
        <f t="shared" si="14"/>
        <v>63.444112199999999</v>
      </c>
      <c r="AZ12" s="12">
        <v>3</v>
      </c>
      <c r="BA12" s="28">
        <f t="shared" si="15"/>
        <v>4.0069965600000002</v>
      </c>
      <c r="BB12" s="12">
        <v>3.1</v>
      </c>
      <c r="BC12" s="28">
        <f t="shared" si="16"/>
        <v>4.1405631120000006</v>
      </c>
      <c r="BD12" s="12">
        <v>34.200000000000003</v>
      </c>
      <c r="BE12" s="28">
        <f t="shared" si="17"/>
        <v>45.679760784000003</v>
      </c>
      <c r="BF12" s="12">
        <v>0.2</v>
      </c>
      <c r="BG12" s="28">
        <f t="shared" si="18"/>
        <v>1.3629240000000002</v>
      </c>
      <c r="BH12" s="12">
        <v>0.67</v>
      </c>
      <c r="BI12" s="28">
        <f t="shared" si="19"/>
        <v>4.5657953999999998</v>
      </c>
      <c r="BJ12" s="12">
        <v>1.6</v>
      </c>
      <c r="BK12" s="28">
        <f t="shared" si="20"/>
        <v>10.903392000000002</v>
      </c>
      <c r="BL12" s="12">
        <v>8.5</v>
      </c>
      <c r="BM12" s="12"/>
      <c r="BN12" s="28">
        <f t="shared" si="21"/>
        <v>45.12300633000001</v>
      </c>
      <c r="BO12" s="12">
        <v>73.900000000000006</v>
      </c>
      <c r="BP12" s="12">
        <v>26.1</v>
      </c>
      <c r="BQ12" s="12">
        <v>15.5</v>
      </c>
      <c r="BR12" s="12">
        <v>22.9</v>
      </c>
      <c r="BS12" s="12">
        <v>12.4</v>
      </c>
      <c r="BT12" s="12">
        <v>6</v>
      </c>
      <c r="BU12" s="12">
        <v>59</v>
      </c>
      <c r="BV12" s="28">
        <f t="shared" si="22"/>
        <v>3132067.4982000003</v>
      </c>
      <c r="BW12" s="12">
        <v>48.7</v>
      </c>
      <c r="BX12" s="12">
        <v>10.6</v>
      </c>
      <c r="BY12" s="28">
        <f t="shared" si="23"/>
        <v>331999.15480920003</v>
      </c>
      <c r="BZ12" s="12">
        <v>13.9</v>
      </c>
      <c r="CA12" s="28">
        <f t="shared" si="24"/>
        <v>435357.38224980002</v>
      </c>
      <c r="CB12" s="12">
        <v>12.9</v>
      </c>
      <c r="CC12" s="28">
        <f t="shared" si="25"/>
        <v>404036.70726780005</v>
      </c>
      <c r="CD12" s="12">
        <v>9.4</v>
      </c>
      <c r="CE12" s="28">
        <f t="shared" si="26"/>
        <v>294414.34483080002</v>
      </c>
      <c r="CF12" s="12">
        <v>4.5</v>
      </c>
      <c r="CG12" s="28">
        <f t="shared" si="27"/>
        <v>140943.037419</v>
      </c>
      <c r="CH12" s="12">
        <v>7.7</v>
      </c>
      <c r="CI12" s="28">
        <f t="shared" si="28"/>
        <v>40.876135146000003</v>
      </c>
      <c r="CJ12" s="12">
        <v>15.2</v>
      </c>
      <c r="CK12" s="12">
        <v>40.700000000000003</v>
      </c>
      <c r="CL12" s="28">
        <f t="shared" si="29"/>
        <v>166365.87004422001</v>
      </c>
      <c r="CM12" s="12">
        <v>16.100000000000001</v>
      </c>
      <c r="CN12" s="28">
        <f t="shared" si="30"/>
        <v>6.5810577585060015</v>
      </c>
      <c r="CO12" s="12">
        <v>28</v>
      </c>
      <c r="CP12" s="28">
        <f t="shared" si="31"/>
        <v>11.44531784088</v>
      </c>
      <c r="CQ12" s="12">
        <v>23.3</v>
      </c>
      <c r="CR12" s="28">
        <f t="shared" si="32"/>
        <v>274.70699999999999</v>
      </c>
      <c r="CS12" s="12">
        <v>0.14000000000000001</v>
      </c>
      <c r="CT12" s="28">
        <f t="shared" si="33"/>
        <v>1.6506000000000001</v>
      </c>
      <c r="CU12" s="27">
        <v>46002</v>
      </c>
      <c r="CV12" s="11">
        <v>1</v>
      </c>
      <c r="CW12" s="11">
        <v>74</v>
      </c>
      <c r="CX12" s="11">
        <v>1</v>
      </c>
      <c r="CY12" s="11">
        <v>1</v>
      </c>
      <c r="CZ12" s="11" t="s">
        <v>93</v>
      </c>
      <c r="DA12" s="11">
        <v>1</v>
      </c>
      <c r="DB12" s="11" t="s">
        <v>270</v>
      </c>
      <c r="DC12" s="11">
        <v>0.09</v>
      </c>
      <c r="DD12" s="11">
        <v>1457</v>
      </c>
      <c r="DE12" s="11">
        <v>722</v>
      </c>
      <c r="DF12" s="11">
        <v>79</v>
      </c>
      <c r="DG12" s="11">
        <v>21741</v>
      </c>
      <c r="DH12" s="11">
        <v>6.7000000000000004E-2</v>
      </c>
      <c r="DI12" s="11">
        <v>0.5</v>
      </c>
      <c r="DJ12" s="11">
        <v>2673</v>
      </c>
      <c r="DK12" s="11"/>
      <c r="DL12" s="11" t="s">
        <v>96</v>
      </c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>
        <v>1</v>
      </c>
      <c r="EC12" s="6">
        <v>1</v>
      </c>
      <c r="ED12" s="6">
        <v>1</v>
      </c>
      <c r="EE12" s="6">
        <v>0</v>
      </c>
      <c r="EF12" s="6">
        <v>0</v>
      </c>
      <c r="EG12" s="6">
        <v>0</v>
      </c>
      <c r="EH12" s="6">
        <v>1</v>
      </c>
      <c r="EI12" s="6">
        <v>1</v>
      </c>
      <c r="EJ12" s="6">
        <v>0</v>
      </c>
      <c r="EK12" s="6">
        <v>1</v>
      </c>
      <c r="EL12" s="6">
        <v>0</v>
      </c>
      <c r="EM12" s="6">
        <v>0</v>
      </c>
      <c r="EN12" s="6">
        <v>1</v>
      </c>
      <c r="EO12" s="6">
        <v>0</v>
      </c>
      <c r="EP12" s="6">
        <v>1</v>
      </c>
      <c r="EQ12" s="6">
        <v>1</v>
      </c>
      <c r="ER12" s="6">
        <v>0</v>
      </c>
      <c r="ES12" s="6">
        <v>0</v>
      </c>
      <c r="ET12" s="6">
        <v>0</v>
      </c>
      <c r="EU12" s="10" t="s">
        <v>271</v>
      </c>
      <c r="EV12" s="4"/>
      <c r="EW12" s="4"/>
      <c r="EX12" s="4"/>
    </row>
    <row r="13" spans="1:154" s="5" customFormat="1" ht="15.75" customHeight="1">
      <c r="A13" s="12">
        <v>60</v>
      </c>
      <c r="B13" s="12">
        <v>7041627</v>
      </c>
      <c r="C13" s="12" t="s">
        <v>52</v>
      </c>
      <c r="D13" s="12" t="s">
        <v>53</v>
      </c>
      <c r="E13" s="12">
        <v>3369630</v>
      </c>
      <c r="F13" s="12">
        <v>1355788</v>
      </c>
      <c r="G13" s="12">
        <v>4.53</v>
      </c>
      <c r="H13" s="12">
        <v>40.1</v>
      </c>
      <c r="I13" s="12">
        <v>13.6</v>
      </c>
      <c r="J13" s="12">
        <v>211</v>
      </c>
      <c r="K13" s="12">
        <v>2.1800000000000002</v>
      </c>
      <c r="L13" s="12">
        <v>46.6</v>
      </c>
      <c r="M13" s="12">
        <v>0.43</v>
      </c>
      <c r="N13" s="12">
        <v>9.19</v>
      </c>
      <c r="O13" s="12">
        <v>0.05</v>
      </c>
      <c r="P13" s="12">
        <v>0.96</v>
      </c>
      <c r="Q13" s="12">
        <v>0.03</v>
      </c>
      <c r="R13" s="12">
        <v>0.62</v>
      </c>
      <c r="S13" s="12">
        <v>1.99</v>
      </c>
      <c r="T13" s="12">
        <v>42.63</v>
      </c>
      <c r="U13" s="12">
        <v>2229</v>
      </c>
      <c r="V13" s="12">
        <v>4.9000000000000004</v>
      </c>
      <c r="W13" s="28">
        <f t="shared" si="0"/>
        <v>109.221</v>
      </c>
      <c r="X13" s="12">
        <v>47.7</v>
      </c>
      <c r="Y13" s="28">
        <f t="shared" si="1"/>
        <v>1063.2329999999999</v>
      </c>
      <c r="Z13" s="12">
        <v>49.6</v>
      </c>
      <c r="AA13" s="28">
        <f t="shared" si="2"/>
        <v>1105.5840000000001</v>
      </c>
      <c r="AB13" s="12">
        <v>28.9</v>
      </c>
      <c r="AC13" s="28">
        <f t="shared" si="3"/>
        <v>644.18100000000004</v>
      </c>
      <c r="AD13" s="12">
        <v>20.5</v>
      </c>
      <c r="AE13" s="29">
        <f t="shared" si="4"/>
        <v>456.94499999999999</v>
      </c>
      <c r="AF13" s="30">
        <v>0.23</v>
      </c>
      <c r="AG13" s="29">
        <f t="shared" si="5"/>
        <v>5.1267000000000005</v>
      </c>
      <c r="AH13" s="30">
        <v>73.2</v>
      </c>
      <c r="AI13" s="28">
        <f t="shared" si="6"/>
        <v>1631.6280000000002</v>
      </c>
      <c r="AJ13" s="30">
        <v>64.2</v>
      </c>
      <c r="AK13" s="28">
        <f t="shared" si="7"/>
        <v>1047.5051760000001</v>
      </c>
      <c r="AL13" s="12">
        <v>35.5</v>
      </c>
      <c r="AM13" s="28">
        <f t="shared" si="8"/>
        <v>371.86433748000002</v>
      </c>
      <c r="AN13" s="12">
        <v>37.700000000000003</v>
      </c>
      <c r="AO13" s="28">
        <f t="shared" si="9"/>
        <v>394.90945135200013</v>
      </c>
      <c r="AP13" s="12">
        <v>9.4</v>
      </c>
      <c r="AQ13" s="28">
        <f t="shared" si="10"/>
        <v>98.465486544000015</v>
      </c>
      <c r="AR13" s="12">
        <v>17.3</v>
      </c>
      <c r="AS13" s="28">
        <f t="shared" si="11"/>
        <v>181.21839544800002</v>
      </c>
      <c r="AT13" s="12">
        <v>30</v>
      </c>
      <c r="AU13" s="28">
        <f t="shared" si="12"/>
        <v>489.48840000000001</v>
      </c>
      <c r="AV13" s="12">
        <v>9.3000000000000007</v>
      </c>
      <c r="AW13" s="28">
        <f t="shared" si="13"/>
        <v>45.522421200000011</v>
      </c>
      <c r="AX13" s="12">
        <v>56.6</v>
      </c>
      <c r="AY13" s="28">
        <f t="shared" si="14"/>
        <v>277.05043440000003</v>
      </c>
      <c r="AZ13" s="12">
        <v>1.8</v>
      </c>
      <c r="BA13" s="28">
        <f t="shared" si="15"/>
        <v>8.8107912000000006</v>
      </c>
      <c r="BB13" s="12">
        <v>3.4</v>
      </c>
      <c r="BC13" s="28">
        <f t="shared" si="16"/>
        <v>16.6426056</v>
      </c>
      <c r="BD13" s="12">
        <v>28.9</v>
      </c>
      <c r="BE13" s="28">
        <f t="shared" si="17"/>
        <v>141.46214759999998</v>
      </c>
      <c r="BF13" s="12">
        <v>0.12</v>
      </c>
      <c r="BG13" s="28">
        <f t="shared" si="18"/>
        <v>1.9579536000000002</v>
      </c>
      <c r="BH13" s="12">
        <v>3.1</v>
      </c>
      <c r="BI13" s="28">
        <f t="shared" si="19"/>
        <v>50.58046800000001</v>
      </c>
      <c r="BJ13" s="12">
        <v>2.6</v>
      </c>
      <c r="BK13" s="28">
        <f t="shared" si="20"/>
        <v>42.422328000000007</v>
      </c>
      <c r="BL13" s="12">
        <v>4.4000000000000004</v>
      </c>
      <c r="BM13" s="12"/>
      <c r="BN13" s="28">
        <f t="shared" si="21"/>
        <v>46.090227744000011</v>
      </c>
      <c r="BO13" s="12">
        <v>46.1</v>
      </c>
      <c r="BP13" s="12">
        <v>29.5</v>
      </c>
      <c r="BQ13" s="12">
        <v>12</v>
      </c>
      <c r="BR13" s="12">
        <v>25.4</v>
      </c>
      <c r="BS13" s="12">
        <v>9.1</v>
      </c>
      <c r="BT13" s="12">
        <v>14.7</v>
      </c>
      <c r="BU13" s="12">
        <v>31.6</v>
      </c>
      <c r="BV13" s="28">
        <f t="shared" si="22"/>
        <v>3310116.3561600004</v>
      </c>
      <c r="BW13" s="12">
        <v>22.2</v>
      </c>
      <c r="BX13" s="12">
        <v>31.1</v>
      </c>
      <c r="BY13" s="28">
        <f t="shared" si="23"/>
        <v>1029446.1867657602</v>
      </c>
      <c r="BZ13" s="12">
        <v>30.1</v>
      </c>
      <c r="CA13" s="28">
        <f t="shared" si="24"/>
        <v>996345.02320416016</v>
      </c>
      <c r="CB13" s="12">
        <v>7.4</v>
      </c>
      <c r="CC13" s="28">
        <f t="shared" si="25"/>
        <v>244948.61035584004</v>
      </c>
      <c r="CD13" s="12">
        <v>7.3</v>
      </c>
      <c r="CE13" s="28">
        <f t="shared" si="26"/>
        <v>241638.49399968001</v>
      </c>
      <c r="CF13" s="12">
        <v>1.9</v>
      </c>
      <c r="CG13" s="28">
        <f t="shared" si="27"/>
        <v>62892.21076704</v>
      </c>
      <c r="CH13" s="12">
        <v>8.6</v>
      </c>
      <c r="CI13" s="28">
        <f t="shared" si="28"/>
        <v>90.085445136000004</v>
      </c>
      <c r="CJ13" s="12">
        <v>7.8</v>
      </c>
      <c r="CK13" s="12">
        <v>29.1</v>
      </c>
      <c r="CL13" s="28">
        <f t="shared" si="29"/>
        <v>262148.64534576004</v>
      </c>
      <c r="CM13" s="12">
        <v>21.4</v>
      </c>
      <c r="CN13" s="28">
        <f t="shared" si="30"/>
        <v>19.278285259103999</v>
      </c>
      <c r="CO13" s="12">
        <v>41.7</v>
      </c>
      <c r="CP13" s="28">
        <f t="shared" si="31"/>
        <v>37.565630621712003</v>
      </c>
      <c r="CQ13" s="12">
        <v>19.2</v>
      </c>
      <c r="CR13" s="28">
        <f t="shared" si="32"/>
        <v>427.96799999999996</v>
      </c>
      <c r="CS13" s="12">
        <v>0.19</v>
      </c>
      <c r="CT13" s="28">
        <f t="shared" si="33"/>
        <v>4.2351000000000001</v>
      </c>
      <c r="CU13" s="27">
        <v>45960</v>
      </c>
      <c r="CV13" s="11">
        <v>0</v>
      </c>
      <c r="CW13" s="11">
        <v>66</v>
      </c>
      <c r="CX13" s="11">
        <v>0</v>
      </c>
      <c r="CY13" s="11">
        <v>0</v>
      </c>
      <c r="CZ13" s="11" t="s">
        <v>263</v>
      </c>
      <c r="DA13" s="11">
        <v>0</v>
      </c>
      <c r="DB13" s="11" t="s">
        <v>151</v>
      </c>
      <c r="DC13" s="11">
        <v>0.11</v>
      </c>
      <c r="DD13" s="11">
        <v>929</v>
      </c>
      <c r="DE13" s="11">
        <v>172</v>
      </c>
      <c r="DF13" s="11">
        <v>23</v>
      </c>
      <c r="DG13" s="11">
        <v>8590</v>
      </c>
      <c r="DH13" s="11">
        <v>0.108</v>
      </c>
      <c r="DI13" s="11">
        <v>0.19</v>
      </c>
      <c r="DJ13" s="11">
        <v>881</v>
      </c>
      <c r="DK13" s="11">
        <v>19.899999999999999</v>
      </c>
      <c r="DL13" s="11" t="s">
        <v>95</v>
      </c>
      <c r="DM13" s="11">
        <v>27</v>
      </c>
      <c r="DN13" s="11">
        <v>0.5</v>
      </c>
      <c r="DO13" s="11">
        <v>2</v>
      </c>
      <c r="DP13" s="11">
        <v>0.5</v>
      </c>
      <c r="DQ13" s="11">
        <v>0.5</v>
      </c>
      <c r="DR13" s="11">
        <v>0.5</v>
      </c>
      <c r="DS13" s="11">
        <v>0.5</v>
      </c>
      <c r="DT13" s="11">
        <v>0</v>
      </c>
      <c r="DU13" s="11">
        <v>0</v>
      </c>
      <c r="DV13" s="11">
        <v>408</v>
      </c>
      <c r="DW13" s="11">
        <v>77</v>
      </c>
      <c r="DX13" s="11">
        <v>1</v>
      </c>
      <c r="DY13" s="11"/>
      <c r="DZ13" s="11"/>
      <c r="EA13" s="11"/>
      <c r="EB13" s="11">
        <v>0</v>
      </c>
      <c r="EC13" s="6">
        <v>0</v>
      </c>
      <c r="ED13" s="6">
        <v>1</v>
      </c>
      <c r="EE13" s="6">
        <v>0</v>
      </c>
      <c r="EF13" s="6">
        <v>0</v>
      </c>
      <c r="EG13" s="6">
        <v>0</v>
      </c>
      <c r="EH13" s="6">
        <v>1</v>
      </c>
      <c r="EI13" s="6">
        <v>0</v>
      </c>
      <c r="EJ13" s="6">
        <v>0</v>
      </c>
      <c r="EK13" s="6">
        <v>1</v>
      </c>
      <c r="EL13" s="6">
        <v>1</v>
      </c>
      <c r="EM13" s="6">
        <v>1</v>
      </c>
      <c r="EN13" s="6">
        <v>1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10" t="s">
        <v>272</v>
      </c>
      <c r="EV13" s="4"/>
      <c r="EW13" s="4"/>
      <c r="EX13" s="4"/>
    </row>
    <row r="14" spans="1:154" s="5" customFormat="1" ht="15.75" customHeight="1">
      <c r="A14" s="12">
        <v>55</v>
      </c>
      <c r="B14" s="12">
        <v>7041513</v>
      </c>
      <c r="C14" s="12" t="s">
        <v>54</v>
      </c>
      <c r="D14" s="12" t="s">
        <v>55</v>
      </c>
      <c r="E14" s="12">
        <v>2427190</v>
      </c>
      <c r="F14" s="12">
        <v>1375467</v>
      </c>
      <c r="G14" s="12">
        <v>4.34</v>
      </c>
      <c r="H14" s="12">
        <v>42.2</v>
      </c>
      <c r="I14" s="12">
        <v>13.9</v>
      </c>
      <c r="J14" s="12">
        <v>305</v>
      </c>
      <c r="K14" s="12">
        <v>4.43</v>
      </c>
      <c r="L14" s="12">
        <v>59.02</v>
      </c>
      <c r="M14" s="12">
        <v>0.47</v>
      </c>
      <c r="N14" s="12">
        <v>6.22</v>
      </c>
      <c r="O14" s="12">
        <v>0.15</v>
      </c>
      <c r="P14" s="12">
        <v>2</v>
      </c>
      <c r="Q14" s="12">
        <v>0.06</v>
      </c>
      <c r="R14" s="12">
        <v>0.76</v>
      </c>
      <c r="S14" s="12">
        <v>2.4</v>
      </c>
      <c r="T14" s="12">
        <v>32</v>
      </c>
      <c r="U14" s="12">
        <v>2622</v>
      </c>
      <c r="V14" s="12">
        <v>15.7</v>
      </c>
      <c r="W14" s="28">
        <f t="shared" si="0"/>
        <v>411.654</v>
      </c>
      <c r="X14" s="12">
        <v>33.5</v>
      </c>
      <c r="Y14" s="28">
        <f t="shared" si="1"/>
        <v>878.37</v>
      </c>
      <c r="Z14" s="12">
        <v>59.8</v>
      </c>
      <c r="AA14" s="28">
        <f t="shared" si="2"/>
        <v>1567.9560000000001</v>
      </c>
      <c r="AB14" s="12">
        <v>31.6</v>
      </c>
      <c r="AC14" s="28">
        <f t="shared" si="3"/>
        <v>828.55200000000002</v>
      </c>
      <c r="AD14" s="12">
        <v>27.8</v>
      </c>
      <c r="AE14" s="29">
        <f t="shared" si="4"/>
        <v>728.91600000000005</v>
      </c>
      <c r="AF14" s="30">
        <v>0.48</v>
      </c>
      <c r="AG14" s="29">
        <f t="shared" si="5"/>
        <v>12.585599999999999</v>
      </c>
      <c r="AH14" s="30">
        <v>72.5</v>
      </c>
      <c r="AI14" s="28">
        <f t="shared" si="6"/>
        <v>1900.95</v>
      </c>
      <c r="AJ14" s="30">
        <v>67</v>
      </c>
      <c r="AK14" s="28">
        <f t="shared" si="7"/>
        <v>1273.6365000000001</v>
      </c>
      <c r="AL14" s="12">
        <v>33.700000000000003</v>
      </c>
      <c r="AM14" s="28">
        <f t="shared" si="8"/>
        <v>429.21550050000008</v>
      </c>
      <c r="AN14" s="12">
        <v>56.1</v>
      </c>
      <c r="AO14" s="28">
        <f t="shared" si="9"/>
        <v>714.51007649999997</v>
      </c>
      <c r="AP14" s="12">
        <v>9</v>
      </c>
      <c r="AQ14" s="28">
        <f t="shared" si="10"/>
        <v>114.62728500000001</v>
      </c>
      <c r="AR14" s="12">
        <v>1</v>
      </c>
      <c r="AS14" s="28">
        <f t="shared" si="11"/>
        <v>12.736365000000001</v>
      </c>
      <c r="AT14" s="12">
        <v>26.8</v>
      </c>
      <c r="AU14" s="28">
        <f t="shared" si="12"/>
        <v>509.45459999999997</v>
      </c>
      <c r="AV14" s="12">
        <v>18.100000000000001</v>
      </c>
      <c r="AW14" s="28">
        <f t="shared" si="13"/>
        <v>92.21128259999999</v>
      </c>
      <c r="AX14" s="12">
        <v>46.7</v>
      </c>
      <c r="AY14" s="28">
        <f t="shared" si="14"/>
        <v>237.9152982</v>
      </c>
      <c r="AZ14" s="12">
        <v>4.8</v>
      </c>
      <c r="BA14" s="28">
        <f t="shared" si="15"/>
        <v>24.453820799999999</v>
      </c>
      <c r="BB14" s="12">
        <v>2.7</v>
      </c>
      <c r="BC14" s="28">
        <f t="shared" si="16"/>
        <v>13.755274200000001</v>
      </c>
      <c r="BD14" s="12">
        <v>25.5</v>
      </c>
      <c r="BE14" s="28">
        <f t="shared" si="17"/>
        <v>129.910923</v>
      </c>
      <c r="BF14" s="12">
        <v>1.2</v>
      </c>
      <c r="BG14" s="28">
        <f t="shared" si="18"/>
        <v>22.811399999999999</v>
      </c>
      <c r="BH14" s="12">
        <v>0.31</v>
      </c>
      <c r="BI14" s="28">
        <f t="shared" si="19"/>
        <v>5.8929450000000001</v>
      </c>
      <c r="BJ14" s="12">
        <v>4.7</v>
      </c>
      <c r="BK14" s="28">
        <f t="shared" si="20"/>
        <v>89.344650000000001</v>
      </c>
      <c r="BL14" s="12">
        <v>8.8000000000000007</v>
      </c>
      <c r="BM14" s="12"/>
      <c r="BN14" s="28">
        <f t="shared" si="21"/>
        <v>112.08001200000001</v>
      </c>
      <c r="BO14" s="12">
        <v>52.9</v>
      </c>
      <c r="BP14" s="12">
        <v>22.4</v>
      </c>
      <c r="BQ14" s="12">
        <v>22.3</v>
      </c>
      <c r="BR14" s="12">
        <v>28</v>
      </c>
      <c r="BS14" s="12">
        <v>10.4</v>
      </c>
      <c r="BT14" s="12">
        <v>13.5</v>
      </c>
      <c r="BU14" s="12">
        <v>35.299999999999997</v>
      </c>
      <c r="BV14" s="28">
        <f t="shared" si="22"/>
        <v>4495936.8449999997</v>
      </c>
      <c r="BW14" s="12">
        <v>21.3</v>
      </c>
      <c r="BX14" s="12">
        <v>26.5</v>
      </c>
      <c r="BY14" s="28">
        <f t="shared" si="23"/>
        <v>1191423.2639250001</v>
      </c>
      <c r="BZ14" s="12">
        <v>24</v>
      </c>
      <c r="CA14" s="28">
        <f t="shared" si="24"/>
        <v>1079024.8428</v>
      </c>
      <c r="CB14" s="12">
        <v>12.6</v>
      </c>
      <c r="CC14" s="28">
        <f t="shared" si="25"/>
        <v>566488.04246999999</v>
      </c>
      <c r="CD14" s="12">
        <v>9.1</v>
      </c>
      <c r="CE14" s="28">
        <f t="shared" si="26"/>
        <v>409130.25289499998</v>
      </c>
      <c r="CF14" s="12">
        <v>6.5</v>
      </c>
      <c r="CG14" s="28">
        <f t="shared" si="27"/>
        <v>292235.89492499997</v>
      </c>
      <c r="CH14" s="12">
        <v>15</v>
      </c>
      <c r="CI14" s="28">
        <f t="shared" si="28"/>
        <v>191.04547500000001</v>
      </c>
      <c r="CJ14" s="12">
        <v>11.8</v>
      </c>
      <c r="CK14" s="12">
        <v>38.6</v>
      </c>
      <c r="CL14" s="28">
        <f t="shared" si="29"/>
        <v>737435.53350000014</v>
      </c>
      <c r="CM14" s="12">
        <v>18.8</v>
      </c>
      <c r="CN14" s="28">
        <f t="shared" si="30"/>
        <v>35.9165493</v>
      </c>
      <c r="CO14" s="12">
        <v>30.8</v>
      </c>
      <c r="CP14" s="28">
        <f t="shared" si="31"/>
        <v>58.842006300000001</v>
      </c>
      <c r="CQ14" s="12">
        <v>6.6</v>
      </c>
      <c r="CR14" s="28">
        <f t="shared" si="32"/>
        <v>173.05200000000002</v>
      </c>
      <c r="CS14" s="12">
        <v>0.11</v>
      </c>
      <c r="CT14" s="28">
        <f t="shared" si="33"/>
        <v>2.8842000000000003</v>
      </c>
      <c r="CU14" s="27">
        <v>45953</v>
      </c>
      <c r="CV14" s="11">
        <v>1</v>
      </c>
      <c r="CW14" s="11">
        <v>61</v>
      </c>
      <c r="CX14" s="11">
        <v>0</v>
      </c>
      <c r="CY14" s="11">
        <v>0</v>
      </c>
      <c r="CZ14" s="11" t="s">
        <v>263</v>
      </c>
      <c r="DA14" s="11">
        <v>0</v>
      </c>
      <c r="DB14" s="11" t="s">
        <v>273</v>
      </c>
      <c r="DC14" s="11">
        <v>0.06</v>
      </c>
      <c r="DD14" s="11">
        <v>896</v>
      </c>
      <c r="DE14" s="11">
        <v>186</v>
      </c>
      <c r="DF14" s="11">
        <v>19</v>
      </c>
      <c r="DG14" s="11">
        <v>9070</v>
      </c>
      <c r="DH14" s="11">
        <v>9.9000000000000005E-2</v>
      </c>
      <c r="DI14" s="11">
        <v>0.21</v>
      </c>
      <c r="DJ14" s="11">
        <v>1195</v>
      </c>
      <c r="DK14" s="11">
        <v>18.88</v>
      </c>
      <c r="DL14" s="11" t="s">
        <v>95</v>
      </c>
      <c r="DM14" s="11">
        <v>29</v>
      </c>
      <c r="DN14" s="11">
        <v>2</v>
      </c>
      <c r="DO14" s="11">
        <v>0.5</v>
      </c>
      <c r="DP14" s="11">
        <v>1</v>
      </c>
      <c r="DQ14" s="11">
        <v>0</v>
      </c>
      <c r="DR14" s="11">
        <v>1</v>
      </c>
      <c r="DS14" s="11">
        <v>0</v>
      </c>
      <c r="DT14" s="11">
        <v>0</v>
      </c>
      <c r="DU14" s="11">
        <v>0</v>
      </c>
      <c r="DV14" s="11">
        <v>286</v>
      </c>
      <c r="DW14" s="11">
        <v>50</v>
      </c>
      <c r="DX14" s="11"/>
      <c r="DY14" s="11"/>
      <c r="DZ14" s="11"/>
      <c r="EA14" s="11"/>
      <c r="EB14" s="11">
        <v>0</v>
      </c>
      <c r="EC14" s="6">
        <v>0</v>
      </c>
      <c r="ED14" s="6">
        <v>1</v>
      </c>
      <c r="EE14" s="6">
        <v>0</v>
      </c>
      <c r="EF14" s="6">
        <v>0</v>
      </c>
      <c r="EG14" s="6">
        <v>0</v>
      </c>
      <c r="EH14" s="6">
        <v>1</v>
      </c>
      <c r="EI14" s="6">
        <v>0</v>
      </c>
      <c r="EJ14" s="6">
        <v>0</v>
      </c>
      <c r="EK14" s="6">
        <v>1</v>
      </c>
      <c r="EL14" s="6">
        <v>1</v>
      </c>
      <c r="EM14" s="6">
        <v>1</v>
      </c>
      <c r="EN14" s="6">
        <v>1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11"/>
      <c r="EV14" s="4"/>
      <c r="EW14" s="4"/>
      <c r="EX14" s="4"/>
    </row>
    <row r="15" spans="1:154" s="5" customFormat="1" ht="15.75" customHeight="1">
      <c r="A15" s="12">
        <v>73</v>
      </c>
      <c r="B15" s="12">
        <v>7042326</v>
      </c>
      <c r="C15" s="12" t="s">
        <v>56</v>
      </c>
      <c r="D15" s="12" t="s">
        <v>57</v>
      </c>
      <c r="E15" s="12">
        <v>3347947</v>
      </c>
      <c r="F15" s="12">
        <v>1387223</v>
      </c>
      <c r="G15" s="12">
        <v>4.4000000000000004</v>
      </c>
      <c r="H15" s="12">
        <v>40</v>
      </c>
      <c r="I15" s="12">
        <v>13.2</v>
      </c>
      <c r="J15" s="12">
        <v>307</v>
      </c>
      <c r="K15" s="12">
        <v>3.51</v>
      </c>
      <c r="L15" s="12">
        <v>49.79</v>
      </c>
      <c r="M15" s="12">
        <v>0.63</v>
      </c>
      <c r="N15" s="12">
        <v>8.93</v>
      </c>
      <c r="O15" s="12">
        <v>0.13</v>
      </c>
      <c r="P15" s="12">
        <v>1.89</v>
      </c>
      <c r="Q15" s="12">
        <v>0.06</v>
      </c>
      <c r="R15" s="12">
        <v>0.82</v>
      </c>
      <c r="S15" s="12">
        <v>2.72</v>
      </c>
      <c r="T15" s="12">
        <v>38.57</v>
      </c>
      <c r="U15" s="12">
        <v>2849</v>
      </c>
      <c r="V15" s="12">
        <v>7.3</v>
      </c>
      <c r="W15" s="28">
        <f t="shared" si="0"/>
        <v>207.977</v>
      </c>
      <c r="X15" s="12">
        <v>77.3</v>
      </c>
      <c r="Y15" s="28">
        <f t="shared" si="1"/>
        <v>2202.277</v>
      </c>
      <c r="Z15" s="12">
        <v>22.7</v>
      </c>
      <c r="AA15" s="28">
        <f t="shared" si="2"/>
        <v>646.72299999999996</v>
      </c>
      <c r="AB15" s="12">
        <v>8.4</v>
      </c>
      <c r="AC15" s="28">
        <f t="shared" si="3"/>
        <v>239.31600000000003</v>
      </c>
      <c r="AD15" s="12">
        <v>13.3</v>
      </c>
      <c r="AE15" s="29">
        <f t="shared" si="4"/>
        <v>378.91700000000003</v>
      </c>
      <c r="AF15" s="30">
        <v>0.92</v>
      </c>
      <c r="AG15" s="29">
        <f t="shared" si="5"/>
        <v>26.210799999999999</v>
      </c>
      <c r="AH15" s="30">
        <v>70.2</v>
      </c>
      <c r="AI15" s="28">
        <f t="shared" si="6"/>
        <v>1999.9980000000003</v>
      </c>
      <c r="AJ15" s="30">
        <v>50.9</v>
      </c>
      <c r="AK15" s="28">
        <f t="shared" si="7"/>
        <v>1017.9989820000001</v>
      </c>
      <c r="AL15" s="12">
        <v>34</v>
      </c>
      <c r="AM15" s="28">
        <f t="shared" si="8"/>
        <v>346.11965388000004</v>
      </c>
      <c r="AN15" s="12">
        <v>47.9</v>
      </c>
      <c r="AO15" s="28">
        <f t="shared" si="9"/>
        <v>487.62151237800003</v>
      </c>
      <c r="AP15" s="12">
        <v>17.399999999999999</v>
      </c>
      <c r="AQ15" s="28">
        <f t="shared" si="10"/>
        <v>177.13182286799997</v>
      </c>
      <c r="AR15" s="12">
        <v>0.51</v>
      </c>
      <c r="AS15" s="28">
        <f t="shared" si="11"/>
        <v>5.1917948082000009</v>
      </c>
      <c r="AT15" s="12">
        <v>38</v>
      </c>
      <c r="AU15" s="28">
        <f t="shared" si="12"/>
        <v>759.9992400000001</v>
      </c>
      <c r="AV15" s="12">
        <v>14.3</v>
      </c>
      <c r="AW15" s="28">
        <f t="shared" si="13"/>
        <v>108.67989132000002</v>
      </c>
      <c r="AX15" s="12">
        <v>51.5</v>
      </c>
      <c r="AY15" s="28">
        <f t="shared" si="14"/>
        <v>391.39960860000008</v>
      </c>
      <c r="AZ15" s="12">
        <v>1.7</v>
      </c>
      <c r="BA15" s="28">
        <f t="shared" si="15"/>
        <v>12.91998708</v>
      </c>
      <c r="BB15" s="12">
        <v>3.4</v>
      </c>
      <c r="BC15" s="28">
        <f t="shared" si="16"/>
        <v>25.839974160000001</v>
      </c>
      <c r="BD15" s="12">
        <v>29.1</v>
      </c>
      <c r="BE15" s="28">
        <f t="shared" si="17"/>
        <v>221.15977884000003</v>
      </c>
      <c r="BF15" s="12">
        <v>0.3</v>
      </c>
      <c r="BG15" s="28">
        <f t="shared" si="18"/>
        <v>5.999994</v>
      </c>
      <c r="BH15" s="12">
        <v>0.28999999999999998</v>
      </c>
      <c r="BI15" s="28">
        <f t="shared" si="19"/>
        <v>5.7999941999999995</v>
      </c>
      <c r="BJ15" s="12">
        <v>10.5</v>
      </c>
      <c r="BK15" s="28">
        <f t="shared" si="20"/>
        <v>209.99979000000002</v>
      </c>
      <c r="BL15" s="12">
        <v>7.2</v>
      </c>
      <c r="BM15" s="12"/>
      <c r="BN15" s="28">
        <f t="shared" si="21"/>
        <v>73.29592670400001</v>
      </c>
      <c r="BO15" s="12">
        <v>62.4</v>
      </c>
      <c r="BP15" s="12">
        <v>28</v>
      </c>
      <c r="BQ15" s="12">
        <v>28.5</v>
      </c>
      <c r="BR15" s="12">
        <v>18.3</v>
      </c>
      <c r="BS15" s="12">
        <v>14.6</v>
      </c>
      <c r="BT15" s="12">
        <v>6.6</v>
      </c>
      <c r="BU15" s="12">
        <v>47.4</v>
      </c>
      <c r="BV15" s="28">
        <f t="shared" si="22"/>
        <v>4825315.1746800002</v>
      </c>
      <c r="BW15" s="12">
        <v>32.1</v>
      </c>
      <c r="BX15" s="12">
        <v>16.100000000000001</v>
      </c>
      <c r="BY15" s="28">
        <f t="shared" si="23"/>
        <v>776875.74312348012</v>
      </c>
      <c r="BZ15" s="12">
        <v>31.5</v>
      </c>
      <c r="CA15" s="28">
        <f t="shared" si="24"/>
        <v>1519974.2800242</v>
      </c>
      <c r="CB15" s="12">
        <v>10.4</v>
      </c>
      <c r="CC15" s="28">
        <f t="shared" si="25"/>
        <v>501832.77816672006</v>
      </c>
      <c r="CD15" s="12">
        <v>6.9</v>
      </c>
      <c r="CE15" s="28">
        <f t="shared" si="26"/>
        <v>332946.74705291999</v>
      </c>
      <c r="CF15" s="12">
        <v>3</v>
      </c>
      <c r="CG15" s="28">
        <f t="shared" si="27"/>
        <v>144759.45524040001</v>
      </c>
      <c r="CH15" s="12">
        <v>8.4</v>
      </c>
      <c r="CI15" s="28">
        <f t="shared" si="28"/>
        <v>85.511914488000002</v>
      </c>
      <c r="CJ15" s="12">
        <v>11.7</v>
      </c>
      <c r="CK15" s="12">
        <v>34.4</v>
      </c>
      <c r="CL15" s="28">
        <f t="shared" si="29"/>
        <v>294160.98583871999</v>
      </c>
      <c r="CM15" s="12">
        <v>18.5</v>
      </c>
      <c r="CN15" s="28">
        <f t="shared" si="30"/>
        <v>15.81970418028</v>
      </c>
      <c r="CO15" s="12">
        <v>35.4</v>
      </c>
      <c r="CP15" s="28">
        <f t="shared" si="31"/>
        <v>30.271217728751999</v>
      </c>
      <c r="CQ15" s="12">
        <v>18.600000000000001</v>
      </c>
      <c r="CR15" s="28">
        <f t="shared" si="32"/>
        <v>529.91399999999999</v>
      </c>
      <c r="CS15" s="12">
        <v>0</v>
      </c>
      <c r="CT15" s="28">
        <f t="shared" si="33"/>
        <v>0</v>
      </c>
      <c r="CU15" s="27">
        <v>45995</v>
      </c>
      <c r="CV15" s="11">
        <v>1</v>
      </c>
      <c r="CW15" s="11">
        <v>55</v>
      </c>
      <c r="CX15" s="11">
        <v>2</v>
      </c>
      <c r="CY15" s="11">
        <v>1</v>
      </c>
      <c r="CZ15" s="11" t="s">
        <v>93</v>
      </c>
      <c r="DA15" s="11">
        <v>1</v>
      </c>
      <c r="DB15" s="11" t="s">
        <v>215</v>
      </c>
      <c r="DC15" s="11">
        <v>0.56999999999999995</v>
      </c>
      <c r="DD15" s="11"/>
      <c r="DE15" s="11"/>
      <c r="DF15" s="11"/>
      <c r="DG15" s="11"/>
      <c r="DH15" s="11"/>
      <c r="DI15" s="11"/>
      <c r="DJ15" s="11"/>
      <c r="DK15" s="11">
        <v>10.11</v>
      </c>
      <c r="DL15" s="11" t="s">
        <v>95</v>
      </c>
      <c r="DM15" s="11">
        <v>30</v>
      </c>
      <c r="DN15" s="11">
        <v>0.5</v>
      </c>
      <c r="DO15" s="11">
        <v>0.5</v>
      </c>
      <c r="DP15" s="11">
        <v>0.5</v>
      </c>
      <c r="DQ15" s="11">
        <v>0</v>
      </c>
      <c r="DR15" s="11">
        <v>0</v>
      </c>
      <c r="DS15" s="11">
        <v>0</v>
      </c>
      <c r="DT15" s="11">
        <v>0</v>
      </c>
      <c r="DU15" s="11">
        <v>0</v>
      </c>
      <c r="DV15" s="11">
        <v>455</v>
      </c>
      <c r="DW15" s="11">
        <v>87</v>
      </c>
      <c r="DX15" s="11">
        <v>0</v>
      </c>
      <c r="DY15" s="11"/>
      <c r="DZ15" s="11"/>
      <c r="EA15" s="11"/>
      <c r="EB15" s="11">
        <v>1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2</v>
      </c>
      <c r="EL15" s="6">
        <v>1</v>
      </c>
      <c r="EM15" s="6">
        <v>1</v>
      </c>
      <c r="EN15" s="6">
        <v>2</v>
      </c>
      <c r="EO15" s="6">
        <v>0</v>
      </c>
      <c r="EP15" s="6">
        <v>1</v>
      </c>
      <c r="EQ15" s="6">
        <v>1</v>
      </c>
      <c r="ER15" s="6">
        <v>0</v>
      </c>
      <c r="ES15" s="6">
        <v>0</v>
      </c>
      <c r="ET15" s="6">
        <v>0</v>
      </c>
      <c r="EU15" s="10" t="s">
        <v>274</v>
      </c>
      <c r="EV15" s="4"/>
      <c r="EW15" s="4"/>
      <c r="EX15" s="4"/>
    </row>
    <row r="16" spans="1:154" s="5" customFormat="1" ht="15.75" customHeight="1">
      <c r="A16" s="12">
        <v>17</v>
      </c>
      <c r="B16" s="12">
        <v>7039661</v>
      </c>
      <c r="C16" s="12" t="s">
        <v>58</v>
      </c>
      <c r="D16" s="12" t="s">
        <v>59</v>
      </c>
      <c r="E16" s="12">
        <v>3362437</v>
      </c>
      <c r="F16" s="12">
        <v>1388901</v>
      </c>
      <c r="G16" s="12">
        <v>5.05</v>
      </c>
      <c r="H16" s="12">
        <v>46.4</v>
      </c>
      <c r="I16" s="12">
        <v>15.1</v>
      </c>
      <c r="J16" s="12">
        <v>218</v>
      </c>
      <c r="K16" s="12">
        <v>5.87</v>
      </c>
      <c r="L16" s="12">
        <v>75.53</v>
      </c>
      <c r="M16" s="12">
        <v>0.47</v>
      </c>
      <c r="N16" s="12">
        <v>6.02</v>
      </c>
      <c r="O16" s="12">
        <v>0.31</v>
      </c>
      <c r="P16" s="12">
        <v>3.94</v>
      </c>
      <c r="Q16" s="12">
        <v>0.55000000000000004</v>
      </c>
      <c r="R16" s="12">
        <v>0.04</v>
      </c>
      <c r="S16" s="12">
        <v>1.0900000000000001</v>
      </c>
      <c r="T16" s="12">
        <v>13.96</v>
      </c>
      <c r="U16" s="12">
        <v>1358</v>
      </c>
      <c r="V16" s="12">
        <v>9.1999999999999993</v>
      </c>
      <c r="W16" s="28">
        <f t="shared" si="0"/>
        <v>124.93599999999998</v>
      </c>
      <c r="X16" s="12">
        <v>57.3</v>
      </c>
      <c r="Y16" s="28">
        <f t="shared" si="1"/>
        <v>778.1339999999999</v>
      </c>
      <c r="Z16" s="12">
        <v>42.3</v>
      </c>
      <c r="AA16" s="28">
        <f t="shared" si="2"/>
        <v>574.43399999999997</v>
      </c>
      <c r="AB16" s="12">
        <v>27.3</v>
      </c>
      <c r="AC16" s="28">
        <f t="shared" si="3"/>
        <v>370.73400000000004</v>
      </c>
      <c r="AD16" s="12">
        <v>14.9</v>
      </c>
      <c r="AE16" s="29">
        <f t="shared" si="4"/>
        <v>202.34200000000001</v>
      </c>
      <c r="AF16" s="30"/>
      <c r="AG16" s="26"/>
      <c r="AH16" s="30">
        <v>67.5</v>
      </c>
      <c r="AI16" s="28">
        <f t="shared" si="6"/>
        <v>916.65</v>
      </c>
      <c r="AJ16" s="30">
        <v>57.6</v>
      </c>
      <c r="AK16" s="28">
        <f t="shared" si="7"/>
        <v>527.99040000000002</v>
      </c>
      <c r="AL16" s="12">
        <v>44.3</v>
      </c>
      <c r="AM16" s="28">
        <f t="shared" si="8"/>
        <v>233.89974719999998</v>
      </c>
      <c r="AN16" s="12">
        <v>50</v>
      </c>
      <c r="AO16" s="28">
        <f t="shared" si="9"/>
        <v>263.99520000000001</v>
      </c>
      <c r="AP16" s="12">
        <v>5.2</v>
      </c>
      <c r="AQ16" s="28">
        <f t="shared" si="10"/>
        <v>27.455500800000003</v>
      </c>
      <c r="AR16" s="12">
        <v>0.19</v>
      </c>
      <c r="AS16" s="28">
        <f t="shared" si="11"/>
        <v>1.0031817600000001</v>
      </c>
      <c r="AT16" s="12">
        <v>39.200000000000003</v>
      </c>
      <c r="AU16" s="28">
        <f t="shared" si="12"/>
        <v>359.32679999999999</v>
      </c>
      <c r="AV16" s="12">
        <v>4.2</v>
      </c>
      <c r="AW16" s="28">
        <f t="shared" si="13"/>
        <v>15.0917256</v>
      </c>
      <c r="AX16" s="12">
        <v>52.2</v>
      </c>
      <c r="AY16" s="28">
        <f t="shared" si="14"/>
        <v>187.56858960000002</v>
      </c>
      <c r="AZ16" s="12">
        <v>4.5999999999999996</v>
      </c>
      <c r="BA16" s="28">
        <f t="shared" si="15"/>
        <v>16.529032799999996</v>
      </c>
      <c r="BB16" s="12">
        <v>3.8</v>
      </c>
      <c r="BC16" s="28">
        <f t="shared" si="16"/>
        <v>13.654418399999999</v>
      </c>
      <c r="BD16" s="12">
        <v>33.799999999999997</v>
      </c>
      <c r="BE16" s="28">
        <f t="shared" si="17"/>
        <v>121.4524584</v>
      </c>
      <c r="BF16" s="12">
        <v>0.27</v>
      </c>
      <c r="BG16" s="28">
        <f t="shared" si="18"/>
        <v>2.474955</v>
      </c>
      <c r="BH16" s="12">
        <v>0.44</v>
      </c>
      <c r="BI16" s="28">
        <f t="shared" si="19"/>
        <v>4.0332599999999994</v>
      </c>
      <c r="BJ16" s="12">
        <v>2.5</v>
      </c>
      <c r="BK16" s="28">
        <f t="shared" si="20"/>
        <v>22.916250000000002</v>
      </c>
      <c r="BL16" s="12">
        <v>11.3</v>
      </c>
      <c r="BM16" s="12"/>
      <c r="BN16" s="28">
        <f t="shared" si="21"/>
        <v>59.662915200000008</v>
      </c>
      <c r="BO16" s="12">
        <v>76.3</v>
      </c>
      <c r="BP16" s="12">
        <v>19.7</v>
      </c>
      <c r="BQ16" s="12">
        <v>10.5</v>
      </c>
      <c r="BR16" s="12">
        <v>32.799999999999997</v>
      </c>
      <c r="BS16" s="12">
        <v>8.8000000000000007</v>
      </c>
      <c r="BT16" s="12">
        <v>10.5</v>
      </c>
      <c r="BU16" s="12">
        <v>35.4</v>
      </c>
      <c r="BV16" s="28">
        <f t="shared" si="22"/>
        <v>1869086.0160000001</v>
      </c>
      <c r="BW16" s="12">
        <v>33.1</v>
      </c>
      <c r="BX16" s="12">
        <v>16.7</v>
      </c>
      <c r="BY16" s="28">
        <f t="shared" si="23"/>
        <v>312137.364672</v>
      </c>
      <c r="BZ16" s="12">
        <v>19.3</v>
      </c>
      <c r="CA16" s="28">
        <f t="shared" si="24"/>
        <v>360733.601088</v>
      </c>
      <c r="CB16" s="12">
        <v>14.9</v>
      </c>
      <c r="CC16" s="28">
        <f t="shared" si="25"/>
        <v>278493.81638400001</v>
      </c>
      <c r="CD16" s="12">
        <v>10.5</v>
      </c>
      <c r="CE16" s="28">
        <f t="shared" si="26"/>
        <v>196254.03168000001</v>
      </c>
      <c r="CF16" s="12">
        <v>5.5</v>
      </c>
      <c r="CG16" s="28">
        <f t="shared" si="27"/>
        <v>102799.73087999999</v>
      </c>
      <c r="CH16" s="12">
        <v>9.6</v>
      </c>
      <c r="CI16" s="28">
        <f t="shared" si="28"/>
        <v>50.687078399999997</v>
      </c>
      <c r="CJ16" s="12">
        <v>5.9</v>
      </c>
      <c r="CK16" s="12">
        <v>47</v>
      </c>
      <c r="CL16" s="28">
        <f t="shared" si="29"/>
        <v>238229.26847999997</v>
      </c>
      <c r="CM16" s="12">
        <v>20.3</v>
      </c>
      <c r="CN16" s="28">
        <f t="shared" si="30"/>
        <v>10.2894769152</v>
      </c>
      <c r="CO16" s="12">
        <v>26.8</v>
      </c>
      <c r="CP16" s="28">
        <f t="shared" si="31"/>
        <v>13.584137011200001</v>
      </c>
      <c r="CQ16" s="12">
        <v>16.8</v>
      </c>
      <c r="CR16" s="28">
        <f t="shared" si="32"/>
        <v>228.14400000000001</v>
      </c>
      <c r="CS16" s="12">
        <v>0.31</v>
      </c>
      <c r="CT16" s="28">
        <f t="shared" si="33"/>
        <v>4.2098000000000004</v>
      </c>
      <c r="CU16" s="27">
        <v>45848</v>
      </c>
      <c r="CV16" s="11">
        <v>0</v>
      </c>
      <c r="CW16" s="11">
        <v>77</v>
      </c>
      <c r="CX16" s="11">
        <v>2</v>
      </c>
      <c r="CY16" s="11">
        <v>1</v>
      </c>
      <c r="CZ16" s="11" t="s">
        <v>93</v>
      </c>
      <c r="DA16" s="11">
        <v>1</v>
      </c>
      <c r="DB16" s="11" t="s">
        <v>94</v>
      </c>
      <c r="DC16" s="11">
        <v>0.17</v>
      </c>
      <c r="DD16" s="11">
        <v>567</v>
      </c>
      <c r="DE16" s="11">
        <v>178</v>
      </c>
      <c r="DF16" s="11">
        <v>29</v>
      </c>
      <c r="DG16" s="11">
        <v>8372</v>
      </c>
      <c r="DH16" s="11">
        <v>6.8000000000000005E-2</v>
      </c>
      <c r="DI16" s="11">
        <v>0.31</v>
      </c>
      <c r="DJ16" s="11">
        <v>410</v>
      </c>
      <c r="DK16" s="11">
        <v>14.29</v>
      </c>
      <c r="DL16" s="11" t="s">
        <v>95</v>
      </c>
      <c r="DM16" s="11">
        <v>30</v>
      </c>
      <c r="DN16" s="11">
        <v>0</v>
      </c>
      <c r="DO16" s="11">
        <v>0</v>
      </c>
      <c r="DP16" s="11">
        <v>0</v>
      </c>
      <c r="DQ16" s="11">
        <v>0</v>
      </c>
      <c r="DR16" s="11">
        <v>0</v>
      </c>
      <c r="DS16" s="11">
        <v>0</v>
      </c>
      <c r="DT16" s="11">
        <v>0</v>
      </c>
      <c r="DU16" s="11">
        <v>0</v>
      </c>
      <c r="DV16" s="11">
        <v>495</v>
      </c>
      <c r="DW16" s="11">
        <v>98</v>
      </c>
      <c r="DX16" s="11">
        <v>1</v>
      </c>
      <c r="DY16" s="11"/>
      <c r="DZ16" s="11"/>
      <c r="EA16" s="11"/>
      <c r="EB16" s="11">
        <v>1</v>
      </c>
      <c r="EC16" s="6">
        <v>0</v>
      </c>
      <c r="ED16" s="6">
        <v>1</v>
      </c>
      <c r="EE16" s="6">
        <v>0</v>
      </c>
      <c r="EF16" s="6">
        <v>0</v>
      </c>
      <c r="EG16" s="6">
        <v>0</v>
      </c>
      <c r="EH16" s="6">
        <v>1</v>
      </c>
      <c r="EI16" s="6">
        <v>0</v>
      </c>
      <c r="EJ16" s="6">
        <v>0</v>
      </c>
      <c r="EK16" s="6">
        <v>3</v>
      </c>
      <c r="EL16" s="6">
        <v>1</v>
      </c>
      <c r="EM16" s="6">
        <v>1</v>
      </c>
      <c r="EN16" s="6">
        <v>3</v>
      </c>
      <c r="EO16" s="6">
        <v>0</v>
      </c>
      <c r="EP16" s="6">
        <v>0</v>
      </c>
      <c r="EQ16" s="6">
        <v>1</v>
      </c>
      <c r="ER16" s="6">
        <v>0</v>
      </c>
      <c r="ES16" s="6">
        <v>1</v>
      </c>
      <c r="ET16" s="6">
        <v>0</v>
      </c>
      <c r="EU16" s="10" t="s">
        <v>275</v>
      </c>
      <c r="EV16" s="4"/>
      <c r="EW16" s="4"/>
      <c r="EX16" s="4"/>
    </row>
    <row r="17" spans="1:154" s="5" customFormat="1" ht="15.75" customHeight="1">
      <c r="A17" s="12">
        <v>10</v>
      </c>
      <c r="B17" s="12">
        <v>7039297</v>
      </c>
      <c r="C17" s="12" t="s">
        <v>60</v>
      </c>
      <c r="D17" s="12" t="s">
        <v>61</v>
      </c>
      <c r="E17" s="12">
        <v>2965009</v>
      </c>
      <c r="F17" s="12">
        <v>1421503</v>
      </c>
      <c r="G17" s="12">
        <v>4.22</v>
      </c>
      <c r="H17" s="12">
        <v>35</v>
      </c>
      <c r="I17" s="12">
        <v>11.7</v>
      </c>
      <c r="J17" s="12">
        <v>291</v>
      </c>
      <c r="K17" s="12">
        <v>5.49</v>
      </c>
      <c r="L17" s="12">
        <v>83.27</v>
      </c>
      <c r="M17" s="12">
        <v>0.28999999999999998</v>
      </c>
      <c r="N17" s="12">
        <v>4.38</v>
      </c>
      <c r="O17" s="12">
        <v>0.02</v>
      </c>
      <c r="P17" s="12">
        <v>0.32</v>
      </c>
      <c r="Q17" s="12">
        <v>0.03</v>
      </c>
      <c r="R17" s="12">
        <v>0.4</v>
      </c>
      <c r="S17" s="12">
        <v>0.77</v>
      </c>
      <c r="T17" s="12">
        <v>11.63</v>
      </c>
      <c r="U17" s="12">
        <v>802</v>
      </c>
      <c r="V17" s="12">
        <v>16.899999999999999</v>
      </c>
      <c r="W17" s="28">
        <f>(V17*U17)/100</f>
        <v>135.53799999999998</v>
      </c>
      <c r="X17" s="12">
        <v>46.2</v>
      </c>
      <c r="Y17" s="28">
        <f t="shared" si="1"/>
        <v>370.524</v>
      </c>
      <c r="Z17" s="12">
        <v>53.8</v>
      </c>
      <c r="AA17" s="28">
        <f t="shared" si="2"/>
        <v>431.476</v>
      </c>
      <c r="AB17" s="12">
        <v>10.5</v>
      </c>
      <c r="AC17" s="28">
        <f t="shared" si="3"/>
        <v>84.21</v>
      </c>
      <c r="AD17" s="12">
        <v>43.3</v>
      </c>
      <c r="AE17" s="29">
        <f t="shared" si="4"/>
        <v>347.26599999999996</v>
      </c>
      <c r="AF17" s="30"/>
      <c r="AG17" s="26"/>
      <c r="AH17" s="30">
        <v>66.400000000000006</v>
      </c>
      <c r="AI17" s="28">
        <f t="shared" si="6"/>
        <v>532.52800000000002</v>
      </c>
      <c r="AJ17" s="30">
        <v>62.6</v>
      </c>
      <c r="AK17" s="28">
        <f t="shared" si="7"/>
        <v>333.362528</v>
      </c>
      <c r="AL17" s="12">
        <v>21.3</v>
      </c>
      <c r="AM17" s="28">
        <f t="shared" si="8"/>
        <v>71.006218464</v>
      </c>
      <c r="AN17" s="12">
        <v>66.2</v>
      </c>
      <c r="AO17" s="28">
        <f t="shared" si="9"/>
        <v>220.68599353600001</v>
      </c>
      <c r="AP17" s="12">
        <v>11.8</v>
      </c>
      <c r="AQ17" s="28">
        <f t="shared" si="10"/>
        <v>39.336778304000006</v>
      </c>
      <c r="AR17" s="12">
        <v>0.66</v>
      </c>
      <c r="AS17" s="28">
        <f t="shared" si="11"/>
        <v>2.2001926848000002</v>
      </c>
      <c r="AT17" s="12">
        <v>23.2</v>
      </c>
      <c r="AU17" s="28">
        <f t="shared" si="12"/>
        <v>123.546496</v>
      </c>
      <c r="AV17" s="12">
        <v>17.100000000000001</v>
      </c>
      <c r="AW17" s="28">
        <f t="shared" si="13"/>
        <v>21.126450816000002</v>
      </c>
      <c r="AX17" s="12">
        <v>31.8</v>
      </c>
      <c r="AY17" s="28">
        <f t="shared" si="14"/>
        <v>39.287785728000003</v>
      </c>
      <c r="AZ17" s="12">
        <v>1.6</v>
      </c>
      <c r="BA17" s="28">
        <f t="shared" si="15"/>
        <v>1.9767439360000003</v>
      </c>
      <c r="BB17" s="12">
        <v>10.199999999999999</v>
      </c>
      <c r="BC17" s="28">
        <f t="shared" si="16"/>
        <v>12.601742592000001</v>
      </c>
      <c r="BD17" s="12">
        <v>39.299999999999997</v>
      </c>
      <c r="BE17" s="28">
        <f t="shared" si="17"/>
        <v>48.553772928000001</v>
      </c>
      <c r="BF17" s="12">
        <v>0</v>
      </c>
      <c r="BG17" s="28">
        <f t="shared" si="18"/>
        <v>0</v>
      </c>
      <c r="BH17" s="12">
        <v>1</v>
      </c>
      <c r="BI17" s="28">
        <f t="shared" si="19"/>
        <v>5.3252800000000002</v>
      </c>
      <c r="BJ17" s="12">
        <v>13.2</v>
      </c>
      <c r="BK17" s="28">
        <f t="shared" si="20"/>
        <v>70.293695999999997</v>
      </c>
      <c r="BL17" s="12">
        <v>8.3000000000000007</v>
      </c>
      <c r="BM17" s="12"/>
      <c r="BN17" s="28">
        <f t="shared" si="21"/>
        <v>27.669089824000004</v>
      </c>
      <c r="BO17" s="12">
        <v>75.3</v>
      </c>
      <c r="BP17" s="12">
        <v>27</v>
      </c>
      <c r="BQ17" s="12">
        <v>28.3</v>
      </c>
      <c r="BR17" s="12">
        <v>17.100000000000001</v>
      </c>
      <c r="BS17" s="12">
        <v>15</v>
      </c>
      <c r="BT17" s="12">
        <v>8.1999999999999993</v>
      </c>
      <c r="BU17" s="12">
        <v>51.1</v>
      </c>
      <c r="BV17" s="28">
        <f t="shared" si="22"/>
        <v>1703482.5180799998</v>
      </c>
      <c r="BW17" s="12">
        <v>18.600000000000001</v>
      </c>
      <c r="BX17" s="12">
        <v>23.3</v>
      </c>
      <c r="BY17" s="28">
        <f t="shared" si="23"/>
        <v>396911.42671263998</v>
      </c>
      <c r="BZ17" s="12">
        <v>17.600000000000001</v>
      </c>
      <c r="CA17" s="28">
        <f t="shared" si="24"/>
        <v>299812.92318207998</v>
      </c>
      <c r="CB17" s="12">
        <v>17.100000000000001</v>
      </c>
      <c r="CC17" s="28">
        <f t="shared" si="25"/>
        <v>291295.51059168001</v>
      </c>
      <c r="CD17" s="12">
        <v>19.7</v>
      </c>
      <c r="CE17" s="28">
        <f t="shared" si="26"/>
        <v>335586.05606175994</v>
      </c>
      <c r="CF17" s="12">
        <v>3.7</v>
      </c>
      <c r="CG17" s="28">
        <f t="shared" si="27"/>
        <v>63028.853168959999</v>
      </c>
      <c r="CH17" s="12">
        <v>9.9</v>
      </c>
      <c r="CI17" s="28">
        <f t="shared" si="28"/>
        <v>33.002890272000002</v>
      </c>
      <c r="CJ17" s="12">
        <v>4.2</v>
      </c>
      <c r="CK17" s="12">
        <v>27.6</v>
      </c>
      <c r="CL17" s="28">
        <f t="shared" si="29"/>
        <v>91087.977150720006</v>
      </c>
      <c r="CM17" s="12">
        <v>23.6</v>
      </c>
      <c r="CN17" s="28">
        <f t="shared" si="30"/>
        <v>7.7886821041920005</v>
      </c>
      <c r="CO17" s="12">
        <v>44.6</v>
      </c>
      <c r="CP17" s="28">
        <f t="shared" si="31"/>
        <v>14.719289061312002</v>
      </c>
      <c r="CQ17" s="12">
        <v>11.6</v>
      </c>
      <c r="CR17" s="28">
        <f t="shared" si="32"/>
        <v>93.031999999999982</v>
      </c>
      <c r="CS17" s="12">
        <v>0</v>
      </c>
      <c r="CT17" s="28">
        <f t="shared" si="33"/>
        <v>0</v>
      </c>
      <c r="CU17" s="27">
        <v>45831</v>
      </c>
      <c r="CV17" s="11">
        <v>1</v>
      </c>
      <c r="CW17" s="11">
        <v>60</v>
      </c>
      <c r="CX17" s="11">
        <v>0</v>
      </c>
      <c r="CY17" s="11">
        <v>0</v>
      </c>
      <c r="CZ17" s="11" t="s">
        <v>263</v>
      </c>
      <c r="DA17" s="11">
        <v>0</v>
      </c>
      <c r="DB17" s="11" t="s">
        <v>276</v>
      </c>
      <c r="DC17" s="11">
        <v>0.05</v>
      </c>
      <c r="DD17" s="11">
        <v>1244</v>
      </c>
      <c r="DE17" s="11">
        <v>178</v>
      </c>
      <c r="DF17" s="11">
        <v>25</v>
      </c>
      <c r="DG17" s="11">
        <v>12515</v>
      </c>
      <c r="DH17" s="11">
        <v>9.9000000000000005E-2</v>
      </c>
      <c r="DI17" s="11">
        <v>0.14000000000000001</v>
      </c>
      <c r="DJ17" s="11">
        <v>349</v>
      </c>
      <c r="DK17" s="11">
        <v>10.89</v>
      </c>
      <c r="DL17" s="11" t="s">
        <v>102</v>
      </c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>
        <v>1</v>
      </c>
      <c r="DY17" s="11"/>
      <c r="DZ17" s="11"/>
      <c r="EA17" s="11"/>
      <c r="EB17" s="11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/>
      <c r="EL17" s="6"/>
      <c r="EM17" s="6"/>
      <c r="EN17" s="6">
        <v>1</v>
      </c>
      <c r="EO17" s="6">
        <v>1</v>
      </c>
      <c r="EP17" s="6">
        <v>1</v>
      </c>
      <c r="EQ17" s="6">
        <v>0</v>
      </c>
      <c r="ER17" s="6">
        <v>1</v>
      </c>
      <c r="ES17" s="6">
        <v>0</v>
      </c>
      <c r="ET17" s="6">
        <v>0</v>
      </c>
      <c r="EU17" s="10" t="s">
        <v>277</v>
      </c>
      <c r="EV17" s="4"/>
      <c r="EW17" s="4"/>
      <c r="EX17" s="4"/>
    </row>
    <row r="18" spans="1:154" s="5" customFormat="1" ht="15.75" customHeight="1">
      <c r="A18" s="12">
        <v>63</v>
      </c>
      <c r="B18" s="12">
        <v>7041801</v>
      </c>
      <c r="C18" s="12" t="s">
        <v>62</v>
      </c>
      <c r="D18" s="12" t="s">
        <v>63</v>
      </c>
      <c r="E18" s="12">
        <v>2916643</v>
      </c>
      <c r="F18" s="12">
        <v>1443055</v>
      </c>
      <c r="G18" s="12">
        <v>4.9800000000000004</v>
      </c>
      <c r="H18" s="12">
        <v>47.3</v>
      </c>
      <c r="I18" s="12">
        <v>16.100000000000001</v>
      </c>
      <c r="J18" s="12">
        <v>149</v>
      </c>
      <c r="K18" s="12">
        <v>3.3</v>
      </c>
      <c r="L18" s="12">
        <v>50.55</v>
      </c>
      <c r="M18" s="12">
        <v>0.57999999999999996</v>
      </c>
      <c r="N18" s="12">
        <v>8.89</v>
      </c>
      <c r="O18" s="12">
        <v>0.11</v>
      </c>
      <c r="P18" s="12">
        <v>1.71</v>
      </c>
      <c r="Q18" s="12">
        <v>0.05</v>
      </c>
      <c r="R18" s="12">
        <v>0.7</v>
      </c>
      <c r="S18" s="12">
        <v>2.4900000000000002</v>
      </c>
      <c r="T18" s="12">
        <v>38.15</v>
      </c>
      <c r="U18" s="12">
        <v>3061</v>
      </c>
      <c r="V18" s="12">
        <v>10.4</v>
      </c>
      <c r="W18" s="28">
        <f t="shared" si="0"/>
        <v>318.34399999999999</v>
      </c>
      <c r="X18" s="12">
        <v>60.3</v>
      </c>
      <c r="Y18" s="28">
        <f t="shared" si="1"/>
        <v>1845.7829999999999</v>
      </c>
      <c r="Z18" s="12">
        <v>37</v>
      </c>
      <c r="AA18" s="28">
        <f t="shared" si="2"/>
        <v>1132.57</v>
      </c>
      <c r="AB18" s="12">
        <v>17.7</v>
      </c>
      <c r="AC18" s="28">
        <f t="shared" si="3"/>
        <v>541.79700000000003</v>
      </c>
      <c r="AD18" s="12">
        <v>18.8</v>
      </c>
      <c r="AE18" s="29">
        <f t="shared" si="4"/>
        <v>575.46800000000007</v>
      </c>
      <c r="AF18" s="30">
        <v>0.56000000000000005</v>
      </c>
      <c r="AG18" s="29">
        <f t="shared" si="5"/>
        <v>17.1416</v>
      </c>
      <c r="AH18" s="30">
        <v>76.2</v>
      </c>
      <c r="AI18" s="28">
        <f t="shared" si="6"/>
        <v>2332.482</v>
      </c>
      <c r="AJ18" s="30">
        <v>54</v>
      </c>
      <c r="AK18" s="28">
        <f t="shared" si="7"/>
        <v>1259.5402799999999</v>
      </c>
      <c r="AL18" s="12">
        <v>37.1</v>
      </c>
      <c r="AM18" s="28">
        <f t="shared" si="8"/>
        <v>467.28944387999996</v>
      </c>
      <c r="AN18" s="12">
        <v>51.1</v>
      </c>
      <c r="AO18" s="28">
        <f t="shared" si="9"/>
        <v>643.62508307999997</v>
      </c>
      <c r="AP18" s="12">
        <v>8.1999999999999993</v>
      </c>
      <c r="AQ18" s="28">
        <f t="shared" si="10"/>
        <v>103.28230295999998</v>
      </c>
      <c r="AR18" s="12">
        <v>3.5</v>
      </c>
      <c r="AS18" s="28">
        <f t="shared" si="11"/>
        <v>44.083909800000001</v>
      </c>
      <c r="AT18" s="12">
        <v>40.5</v>
      </c>
      <c r="AU18" s="28">
        <f t="shared" si="12"/>
        <v>944.6552099999999</v>
      </c>
      <c r="AV18" s="12">
        <v>4</v>
      </c>
      <c r="AW18" s="28">
        <f t="shared" si="13"/>
        <v>37.786208399999992</v>
      </c>
      <c r="AX18" s="12">
        <v>21.4</v>
      </c>
      <c r="AY18" s="28">
        <f t="shared" si="14"/>
        <v>202.15621493999996</v>
      </c>
      <c r="AZ18" s="12">
        <v>31</v>
      </c>
      <c r="BA18" s="28">
        <f t="shared" si="15"/>
        <v>292.84311509999998</v>
      </c>
      <c r="BB18" s="12">
        <v>0.79</v>
      </c>
      <c r="BC18" s="28">
        <f t="shared" si="16"/>
        <v>7.4627761589999997</v>
      </c>
      <c r="BD18" s="12">
        <v>42.8</v>
      </c>
      <c r="BE18" s="28">
        <f t="shared" si="17"/>
        <v>404.31242987999991</v>
      </c>
      <c r="BF18" s="12">
        <v>0.12</v>
      </c>
      <c r="BG18" s="28">
        <f t="shared" si="18"/>
        <v>2.7989783999999998</v>
      </c>
      <c r="BH18" s="12">
        <v>0.91</v>
      </c>
      <c r="BI18" s="28">
        <f t="shared" si="19"/>
        <v>21.225586200000002</v>
      </c>
      <c r="BJ18" s="12">
        <v>4.5</v>
      </c>
      <c r="BK18" s="28">
        <f t="shared" si="20"/>
        <v>104.96169</v>
      </c>
      <c r="BL18" s="12">
        <v>8.6</v>
      </c>
      <c r="BM18" s="12"/>
      <c r="BN18" s="28">
        <f t="shared" si="21"/>
        <v>108.32046407999998</v>
      </c>
      <c r="BO18" s="12">
        <v>50.1</v>
      </c>
      <c r="BP18" s="12">
        <v>17.899999999999999</v>
      </c>
      <c r="BQ18" s="12">
        <v>12.8</v>
      </c>
      <c r="BR18" s="12">
        <v>31.3</v>
      </c>
      <c r="BS18" s="12">
        <v>7.8</v>
      </c>
      <c r="BT18" s="12">
        <v>15.4</v>
      </c>
      <c r="BU18" s="12">
        <v>31.7</v>
      </c>
      <c r="BV18" s="28">
        <f t="shared" si="22"/>
        <v>3992742.6875999998</v>
      </c>
      <c r="BW18" s="12">
        <v>33.200000000000003</v>
      </c>
      <c r="BX18" s="12">
        <v>13.6</v>
      </c>
      <c r="BY18" s="28">
        <f t="shared" si="23"/>
        <v>543013.00551359996</v>
      </c>
      <c r="BZ18" s="12">
        <v>22.9</v>
      </c>
      <c r="CA18" s="28">
        <f t="shared" si="24"/>
        <v>914338.07546039985</v>
      </c>
      <c r="CB18" s="12">
        <v>20.3</v>
      </c>
      <c r="CC18" s="28">
        <f t="shared" si="25"/>
        <v>810526.76558280003</v>
      </c>
      <c r="CD18" s="12">
        <v>7.6</v>
      </c>
      <c r="CE18" s="28">
        <f t="shared" si="26"/>
        <v>303448.4442576</v>
      </c>
      <c r="CF18" s="12">
        <v>2.4</v>
      </c>
      <c r="CG18" s="28">
        <f t="shared" si="27"/>
        <v>95825.824502399992</v>
      </c>
      <c r="CH18" s="12">
        <v>12.4</v>
      </c>
      <c r="CI18" s="28">
        <f t="shared" si="28"/>
        <v>156.18299471999998</v>
      </c>
      <c r="CJ18" s="12">
        <v>8.1999999999999993</v>
      </c>
      <c r="CK18" s="12">
        <v>31.9</v>
      </c>
      <c r="CL18" s="28">
        <f t="shared" si="29"/>
        <v>498223.75315679994</v>
      </c>
      <c r="CM18" s="12">
        <v>26.1</v>
      </c>
      <c r="CN18" s="28">
        <f t="shared" si="30"/>
        <v>40.763761621919997</v>
      </c>
      <c r="CO18" s="12">
        <v>33.799999999999997</v>
      </c>
      <c r="CP18" s="28">
        <f t="shared" si="31"/>
        <v>52.789852215359986</v>
      </c>
      <c r="CQ18" s="12">
        <v>8.6999999999999993</v>
      </c>
      <c r="CR18" s="28">
        <f t="shared" si="32"/>
        <v>266.30699999999996</v>
      </c>
      <c r="CS18" s="12">
        <v>0</v>
      </c>
      <c r="CT18" s="28">
        <f t="shared" si="33"/>
        <v>0</v>
      </c>
      <c r="CU18" s="27">
        <v>45967</v>
      </c>
      <c r="CV18" s="11">
        <v>0</v>
      </c>
      <c r="CW18" s="11">
        <v>70</v>
      </c>
      <c r="CX18" s="11">
        <v>1</v>
      </c>
      <c r="CY18" s="11">
        <v>1</v>
      </c>
      <c r="CZ18" s="11" t="s">
        <v>93</v>
      </c>
      <c r="DA18" s="11">
        <v>1</v>
      </c>
      <c r="DB18" s="11" t="s">
        <v>279</v>
      </c>
      <c r="DC18" s="11">
        <v>0.76</v>
      </c>
      <c r="DD18" s="11">
        <v>324</v>
      </c>
      <c r="DE18" s="11">
        <v>520</v>
      </c>
      <c r="DF18" s="11">
        <v>79</v>
      </c>
      <c r="DG18" s="11">
        <v>6845</v>
      </c>
      <c r="DH18" s="11">
        <v>4.7E-2</v>
      </c>
      <c r="DI18" s="11">
        <v>1.6</v>
      </c>
      <c r="DJ18" s="11">
        <v>1785</v>
      </c>
      <c r="DK18" s="11">
        <v>22.58</v>
      </c>
      <c r="DL18" s="11" t="s">
        <v>96</v>
      </c>
      <c r="DM18" s="11">
        <v>27</v>
      </c>
      <c r="DN18" s="11">
        <v>2</v>
      </c>
      <c r="DO18" s="11">
        <v>0.5</v>
      </c>
      <c r="DP18" s="11">
        <v>1</v>
      </c>
      <c r="DQ18" s="11">
        <v>0</v>
      </c>
      <c r="DR18" s="11">
        <v>0.5</v>
      </c>
      <c r="DS18" s="11">
        <v>0.5</v>
      </c>
      <c r="DT18" s="11">
        <v>0</v>
      </c>
      <c r="DU18" s="11">
        <v>0</v>
      </c>
      <c r="DV18" s="11">
        <v>342</v>
      </c>
      <c r="DW18" s="11">
        <v>60</v>
      </c>
      <c r="DX18" s="11"/>
      <c r="DY18" s="11"/>
      <c r="DZ18" s="11"/>
      <c r="EA18" s="11"/>
      <c r="EB18" s="11">
        <v>1</v>
      </c>
      <c r="EC18" s="6">
        <v>0</v>
      </c>
      <c r="ED18" s="6">
        <v>1</v>
      </c>
      <c r="EE18" s="6">
        <v>0</v>
      </c>
      <c r="EF18" s="6">
        <v>0</v>
      </c>
      <c r="EG18" s="6">
        <v>0</v>
      </c>
      <c r="EH18" s="6">
        <v>1</v>
      </c>
      <c r="EI18" s="6">
        <v>0</v>
      </c>
      <c r="EJ18" s="6">
        <v>1</v>
      </c>
      <c r="EK18" s="6">
        <v>1</v>
      </c>
      <c r="EL18" s="6">
        <v>0</v>
      </c>
      <c r="EM18" s="6">
        <v>0</v>
      </c>
      <c r="EN18" s="6">
        <v>1</v>
      </c>
      <c r="EO18" s="6">
        <v>1</v>
      </c>
      <c r="EP18" s="6">
        <v>1</v>
      </c>
      <c r="EQ18" s="6">
        <v>1</v>
      </c>
      <c r="ER18" s="6">
        <v>0</v>
      </c>
      <c r="ES18" s="6">
        <v>0</v>
      </c>
      <c r="ET18" s="6">
        <v>0</v>
      </c>
      <c r="EU18" s="10" t="s">
        <v>278</v>
      </c>
      <c r="EV18" s="4"/>
      <c r="EW18" s="4"/>
      <c r="EX18" s="4"/>
    </row>
    <row r="19" spans="1:154" s="5" customFormat="1" ht="15.75" customHeight="1">
      <c r="A19" s="12">
        <v>47</v>
      </c>
      <c r="B19" s="12">
        <v>7040997</v>
      </c>
      <c r="C19" s="12" t="s">
        <v>64</v>
      </c>
      <c r="D19" s="12" t="s">
        <v>65</v>
      </c>
      <c r="E19" s="12">
        <v>2972160</v>
      </c>
      <c r="F19" s="12">
        <v>1475992</v>
      </c>
      <c r="G19" s="12">
        <v>3.47</v>
      </c>
      <c r="H19" s="12">
        <v>33.5</v>
      </c>
      <c r="I19" s="12">
        <v>11.3</v>
      </c>
      <c r="J19" s="12">
        <v>184</v>
      </c>
      <c r="K19" s="12">
        <v>1.95</v>
      </c>
      <c r="L19" s="12">
        <v>44.94</v>
      </c>
      <c r="M19" s="12">
        <v>0.49</v>
      </c>
      <c r="N19" s="12">
        <v>11.19</v>
      </c>
      <c r="O19" s="12">
        <v>0.1</v>
      </c>
      <c r="P19" s="12">
        <v>2.27</v>
      </c>
      <c r="Q19" s="12">
        <v>0.02</v>
      </c>
      <c r="R19" s="12">
        <v>0.52</v>
      </c>
      <c r="S19" s="12">
        <v>1.78</v>
      </c>
      <c r="T19" s="12">
        <v>41.08</v>
      </c>
      <c r="U19" s="12">
        <v>2173</v>
      </c>
      <c r="V19" s="12">
        <v>15.5</v>
      </c>
      <c r="W19" s="28">
        <f t="shared" si="0"/>
        <v>336.815</v>
      </c>
      <c r="X19" s="12">
        <v>73.599999999999994</v>
      </c>
      <c r="Y19" s="28">
        <f t="shared" si="1"/>
        <v>1599.328</v>
      </c>
      <c r="Z19" s="12">
        <v>25.6</v>
      </c>
      <c r="AA19" s="28">
        <f t="shared" si="2"/>
        <v>556.28800000000001</v>
      </c>
      <c r="AB19" s="12">
        <v>18.7</v>
      </c>
      <c r="AC19" s="28">
        <f t="shared" si="3"/>
        <v>406.351</v>
      </c>
      <c r="AD19" s="12">
        <v>6.3</v>
      </c>
      <c r="AE19" s="29">
        <f t="shared" si="4"/>
        <v>136.899</v>
      </c>
      <c r="AF19" s="30">
        <v>0.52</v>
      </c>
      <c r="AG19" s="29">
        <f t="shared" si="5"/>
        <v>11.2996</v>
      </c>
      <c r="AH19" s="30">
        <v>61</v>
      </c>
      <c r="AI19" s="28">
        <f t="shared" si="6"/>
        <v>1325.53</v>
      </c>
      <c r="AJ19" s="30">
        <v>78.400000000000006</v>
      </c>
      <c r="AK19" s="28">
        <f t="shared" si="7"/>
        <v>1039.2155200000002</v>
      </c>
      <c r="AL19" s="12">
        <v>39.6</v>
      </c>
      <c r="AM19" s="28">
        <f t="shared" si="8"/>
        <v>411.52934592000014</v>
      </c>
      <c r="AN19" s="12">
        <v>53.7</v>
      </c>
      <c r="AO19" s="28">
        <f t="shared" si="9"/>
        <v>558.05873424000015</v>
      </c>
      <c r="AP19" s="12">
        <v>5.4</v>
      </c>
      <c r="AQ19" s="28">
        <f t="shared" si="10"/>
        <v>56.117638080000013</v>
      </c>
      <c r="AR19" s="12">
        <v>0.74</v>
      </c>
      <c r="AS19" s="28">
        <f t="shared" si="11"/>
        <v>7.6901948480000009</v>
      </c>
      <c r="AT19" s="12">
        <v>17.5</v>
      </c>
      <c r="AU19" s="28">
        <f t="shared" si="12"/>
        <v>231.96774999999997</v>
      </c>
      <c r="AV19" s="12">
        <v>34.799999999999997</v>
      </c>
      <c r="AW19" s="28">
        <f t="shared" si="13"/>
        <v>80.724776999999989</v>
      </c>
      <c r="AX19" s="12">
        <v>49.9</v>
      </c>
      <c r="AY19" s="28">
        <f t="shared" si="14"/>
        <v>115.75190724999999</v>
      </c>
      <c r="AZ19" s="12">
        <v>1.5</v>
      </c>
      <c r="BA19" s="28">
        <f t="shared" si="15"/>
        <v>3.4795162499999992</v>
      </c>
      <c r="BB19" s="12">
        <v>1.5</v>
      </c>
      <c r="BC19" s="28">
        <f t="shared" si="16"/>
        <v>3.4795162499999992</v>
      </c>
      <c r="BD19" s="12">
        <v>12.3</v>
      </c>
      <c r="BE19" s="28">
        <f t="shared" si="17"/>
        <v>28.532033249999998</v>
      </c>
      <c r="BF19" s="12">
        <v>0.53</v>
      </c>
      <c r="BG19" s="28">
        <f t="shared" si="18"/>
        <v>7.025309</v>
      </c>
      <c r="BH19" s="12">
        <v>0.56999999999999995</v>
      </c>
      <c r="BI19" s="28">
        <f t="shared" si="19"/>
        <v>7.5555209999999988</v>
      </c>
      <c r="BJ19" s="12">
        <v>3</v>
      </c>
      <c r="BK19" s="28">
        <f t="shared" si="20"/>
        <v>39.765900000000002</v>
      </c>
      <c r="BL19" s="12">
        <v>5.9</v>
      </c>
      <c r="BM19" s="12"/>
      <c r="BN19" s="28">
        <f t="shared" si="21"/>
        <v>61.313715680000016</v>
      </c>
      <c r="BO19" s="12">
        <v>50.5</v>
      </c>
      <c r="BP19" s="12">
        <v>20.100000000000001</v>
      </c>
      <c r="BQ19" s="12">
        <v>15.5</v>
      </c>
      <c r="BR19" s="12">
        <v>31.3</v>
      </c>
      <c r="BS19" s="12">
        <v>12.4</v>
      </c>
      <c r="BT19" s="12">
        <v>24.7</v>
      </c>
      <c r="BU19" s="12">
        <v>33.9</v>
      </c>
      <c r="BV19" s="28">
        <f t="shared" si="22"/>
        <v>3522940.6128000002</v>
      </c>
      <c r="BW19" s="12">
        <v>20.9</v>
      </c>
      <c r="BX19" s="12">
        <v>20.100000000000001</v>
      </c>
      <c r="BY19" s="28">
        <f t="shared" si="23"/>
        <v>708111.06317280012</v>
      </c>
      <c r="BZ19" s="12">
        <v>14.9</v>
      </c>
      <c r="CA19" s="28">
        <f t="shared" si="24"/>
        <v>524918.15130720008</v>
      </c>
      <c r="CB19" s="12">
        <v>26.3</v>
      </c>
      <c r="CC19" s="28">
        <f t="shared" si="25"/>
        <v>926533.38116640004</v>
      </c>
      <c r="CD19" s="12">
        <v>11.8</v>
      </c>
      <c r="CE19" s="28">
        <f t="shared" si="26"/>
        <v>415706.99231040006</v>
      </c>
      <c r="CF19" s="12">
        <v>6</v>
      </c>
      <c r="CG19" s="28">
        <f t="shared" si="27"/>
        <v>211376.43676800001</v>
      </c>
      <c r="CH19" s="12">
        <v>18.600000000000001</v>
      </c>
      <c r="CI19" s="28">
        <f t="shared" si="28"/>
        <v>193.29408672000005</v>
      </c>
      <c r="CJ19" s="12" t="s">
        <v>239</v>
      </c>
      <c r="CK19" s="12">
        <v>30.7</v>
      </c>
      <c r="CL19" s="28">
        <f t="shared" si="29"/>
        <v>593412.84623040014</v>
      </c>
      <c r="CM19" s="12">
        <v>19.7</v>
      </c>
      <c r="CN19" s="28">
        <f t="shared" si="30"/>
        <v>38.078935083840008</v>
      </c>
      <c r="CO19" s="12">
        <v>38.9</v>
      </c>
      <c r="CP19" s="28">
        <f t="shared" si="31"/>
        <v>75.191399734080008</v>
      </c>
      <c r="CQ19" s="12">
        <v>19.899999999999999</v>
      </c>
      <c r="CR19" s="28">
        <f t="shared" si="32"/>
        <v>432.42699999999996</v>
      </c>
      <c r="CS19" s="12">
        <v>8.5999999999999993E-2</v>
      </c>
      <c r="CT19" s="28">
        <f t="shared" si="33"/>
        <v>1.8687799999999999</v>
      </c>
      <c r="CU19" s="27">
        <v>45925</v>
      </c>
      <c r="CV19" s="11">
        <v>1</v>
      </c>
      <c r="CW19" s="11">
        <v>55</v>
      </c>
      <c r="CX19" s="11">
        <v>3</v>
      </c>
      <c r="CY19" s="11">
        <v>2</v>
      </c>
      <c r="CZ19" s="11" t="s">
        <v>283</v>
      </c>
      <c r="DA19" s="11">
        <v>0</v>
      </c>
      <c r="DB19" s="11" t="s">
        <v>280</v>
      </c>
      <c r="DC19" s="11">
        <v>0.15</v>
      </c>
      <c r="DD19" s="11">
        <v>1510</v>
      </c>
      <c r="DE19" s="11">
        <v>302</v>
      </c>
      <c r="DF19" s="11">
        <v>43</v>
      </c>
      <c r="DG19" s="11">
        <v>14346</v>
      </c>
      <c r="DH19" s="11">
        <v>0.105</v>
      </c>
      <c r="DI19" s="11">
        <v>0.2</v>
      </c>
      <c r="DJ19" s="11">
        <v>508</v>
      </c>
      <c r="DK19" s="11">
        <v>20.170000000000002</v>
      </c>
      <c r="DL19" s="11" t="s">
        <v>95</v>
      </c>
      <c r="DM19" s="11">
        <v>28</v>
      </c>
      <c r="DN19" s="11">
        <v>1</v>
      </c>
      <c r="DO19" s="11">
        <v>0.5</v>
      </c>
      <c r="DP19" s="11">
        <v>0.5</v>
      </c>
      <c r="DQ19" s="11">
        <v>0</v>
      </c>
      <c r="DR19" s="11">
        <v>0.5</v>
      </c>
      <c r="DS19" s="11">
        <v>0</v>
      </c>
      <c r="DT19" s="11">
        <v>0</v>
      </c>
      <c r="DU19" s="11">
        <v>0</v>
      </c>
      <c r="DV19" s="11">
        <v>331</v>
      </c>
      <c r="DW19" s="11">
        <v>57</v>
      </c>
      <c r="DX19" s="11"/>
      <c r="DY19" s="11"/>
      <c r="DZ19" s="11"/>
      <c r="EA19" s="11"/>
      <c r="EB19" s="11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3</v>
      </c>
      <c r="EL19" s="6">
        <v>0</v>
      </c>
      <c r="EM19" s="6">
        <v>0</v>
      </c>
      <c r="EN19" s="6">
        <v>1</v>
      </c>
      <c r="EO19" s="6">
        <v>1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10" t="s">
        <v>281</v>
      </c>
      <c r="EV19" s="4"/>
      <c r="EW19" s="4"/>
      <c r="EX19" s="4"/>
    </row>
    <row r="20" spans="1:154" s="37" customFormat="1" ht="15.75" customHeight="1">
      <c r="A20" s="32">
        <v>25</v>
      </c>
      <c r="B20" s="32">
        <v>7039872</v>
      </c>
      <c r="C20" s="12" t="s">
        <v>66</v>
      </c>
      <c r="D20" s="12" t="s">
        <v>67</v>
      </c>
      <c r="E20" s="12">
        <v>3375442</v>
      </c>
      <c r="F20" s="32">
        <v>1516023</v>
      </c>
      <c r="G20" s="32">
        <v>4.08</v>
      </c>
      <c r="H20" s="32">
        <v>37.9</v>
      </c>
      <c r="I20" s="32">
        <v>12.4</v>
      </c>
      <c r="J20" s="32">
        <v>133</v>
      </c>
      <c r="K20" s="32">
        <v>4.07</v>
      </c>
      <c r="L20" s="32">
        <v>56.16</v>
      </c>
      <c r="M20" s="32">
        <v>0.43</v>
      </c>
      <c r="N20" s="32">
        <v>5.94</v>
      </c>
      <c r="O20" s="32">
        <v>0.12</v>
      </c>
      <c r="P20" s="32">
        <v>1.63</v>
      </c>
      <c r="Q20" s="32">
        <v>0.04</v>
      </c>
      <c r="R20" s="32">
        <v>0.52</v>
      </c>
      <c r="S20" s="32">
        <v>2.59</v>
      </c>
      <c r="T20" s="32">
        <v>35.75</v>
      </c>
      <c r="U20" s="32">
        <v>2809</v>
      </c>
      <c r="V20" s="32">
        <v>9.5</v>
      </c>
      <c r="W20" s="28">
        <f t="shared" si="0"/>
        <v>266.85500000000002</v>
      </c>
      <c r="X20" s="6"/>
      <c r="Y20" s="6"/>
      <c r="Z20" s="6"/>
      <c r="AA20" s="6"/>
      <c r="AB20" s="32"/>
      <c r="AC20" s="28"/>
      <c r="AD20" s="32"/>
      <c r="AE20" s="29"/>
      <c r="AF20" s="33"/>
      <c r="AG20" s="29"/>
      <c r="AH20" s="33">
        <v>82.1</v>
      </c>
      <c r="AI20" s="28">
        <f t="shared" si="6"/>
        <v>2306.1889999999999</v>
      </c>
      <c r="AJ20" s="33">
        <v>52.6</v>
      </c>
      <c r="AK20" s="28">
        <f t="shared" si="7"/>
        <v>1213.0554139999999</v>
      </c>
      <c r="AL20" s="32">
        <v>10.5</v>
      </c>
      <c r="AM20" s="28">
        <f t="shared" si="8"/>
        <v>127.37081846999999</v>
      </c>
      <c r="AN20" s="32">
        <v>49.6</v>
      </c>
      <c r="AO20" s="28">
        <f t="shared" si="9"/>
        <v>601.67548534399998</v>
      </c>
      <c r="AP20" s="32">
        <v>24.7</v>
      </c>
      <c r="AQ20" s="28">
        <f t="shared" si="10"/>
        <v>299.62468725799999</v>
      </c>
      <c r="AR20" s="32">
        <v>13.9</v>
      </c>
      <c r="AS20" s="28">
        <f t="shared" si="11"/>
        <v>168.61470254600002</v>
      </c>
      <c r="AT20" s="32">
        <v>41.2</v>
      </c>
      <c r="AU20" s="28">
        <f t="shared" si="12"/>
        <v>950.14986799999997</v>
      </c>
      <c r="AV20" s="32">
        <v>2.4</v>
      </c>
      <c r="AW20" s="28">
        <f t="shared" si="13"/>
        <v>22.803596831999997</v>
      </c>
      <c r="AX20" s="32">
        <v>31.2</v>
      </c>
      <c r="AY20" s="28">
        <f t="shared" si="14"/>
        <v>296.446758816</v>
      </c>
      <c r="AZ20" s="32">
        <v>2.7</v>
      </c>
      <c r="BA20" s="28">
        <f t="shared" si="15"/>
        <v>25.654046435999998</v>
      </c>
      <c r="BB20" s="32">
        <v>31.8</v>
      </c>
      <c r="BC20" s="28">
        <f t="shared" si="16"/>
        <v>302.14765802400001</v>
      </c>
      <c r="BD20" s="32">
        <v>31.9</v>
      </c>
      <c r="BE20" s="28">
        <f t="shared" si="17"/>
        <v>303.09780789199999</v>
      </c>
      <c r="BF20" s="32">
        <v>2</v>
      </c>
      <c r="BG20" s="28">
        <f t="shared" si="18"/>
        <v>46.123779999999996</v>
      </c>
      <c r="BH20" s="32">
        <v>0.55000000000000004</v>
      </c>
      <c r="BI20" s="28">
        <f t="shared" si="19"/>
        <v>12.684039500000001</v>
      </c>
      <c r="BJ20" s="32">
        <v>3.6</v>
      </c>
      <c r="BK20" s="28">
        <f t="shared" si="20"/>
        <v>83.022803999999994</v>
      </c>
      <c r="BL20" s="32">
        <v>7.4</v>
      </c>
      <c r="BM20" s="32"/>
      <c r="BN20" s="28">
        <f t="shared" si="21"/>
        <v>89.76610063599999</v>
      </c>
      <c r="BO20" s="32">
        <v>51.9</v>
      </c>
      <c r="BP20" s="32">
        <v>16</v>
      </c>
      <c r="BQ20" s="32">
        <v>20.5</v>
      </c>
      <c r="BR20" s="32">
        <v>31.7</v>
      </c>
      <c r="BS20" s="32">
        <v>8.1999999999999993</v>
      </c>
      <c r="BT20" s="32">
        <v>19.399999999999999</v>
      </c>
      <c r="BU20" s="32">
        <v>49.5</v>
      </c>
      <c r="BV20" s="28">
        <f t="shared" si="22"/>
        <v>6004624.2993000001</v>
      </c>
      <c r="BW20" s="32">
        <v>22.8</v>
      </c>
      <c r="BX20" s="32">
        <v>19.3</v>
      </c>
      <c r="BY20" s="28">
        <f t="shared" si="23"/>
        <v>1158892.4897648999</v>
      </c>
      <c r="BZ20" s="32">
        <v>39.1</v>
      </c>
      <c r="CA20" s="28">
        <f t="shared" si="24"/>
        <v>2347808.1010263003</v>
      </c>
      <c r="CB20" s="32">
        <v>9.9</v>
      </c>
      <c r="CC20" s="28">
        <f t="shared" si="25"/>
        <v>594457.80563069996</v>
      </c>
      <c r="CD20" s="32">
        <v>6</v>
      </c>
      <c r="CE20" s="28">
        <f t="shared" si="26"/>
        <v>360277.45795800001</v>
      </c>
      <c r="CF20" s="32">
        <v>2.9</v>
      </c>
      <c r="CG20" s="28">
        <f t="shared" si="27"/>
        <v>174134.10467969999</v>
      </c>
      <c r="CH20" s="32">
        <v>11.8</v>
      </c>
      <c r="CI20" s="28">
        <f t="shared" si="28"/>
        <v>143.14053885200002</v>
      </c>
      <c r="CJ20" s="32">
        <v>14.2</v>
      </c>
      <c r="CK20" s="32">
        <v>30.3</v>
      </c>
      <c r="CL20" s="28">
        <f t="shared" si="29"/>
        <v>433715.83272156003</v>
      </c>
      <c r="CM20" s="32">
        <v>16.100000000000001</v>
      </c>
      <c r="CN20" s="28">
        <f t="shared" si="30"/>
        <v>23.045626755172005</v>
      </c>
      <c r="CO20" s="32">
        <v>39.4</v>
      </c>
      <c r="CP20" s="28">
        <f t="shared" si="31"/>
        <v>56.397372307688002</v>
      </c>
      <c r="CQ20" s="32">
        <v>5.4</v>
      </c>
      <c r="CR20" s="28">
        <f t="shared" si="32"/>
        <v>151.68600000000001</v>
      </c>
      <c r="CS20" s="32">
        <v>0</v>
      </c>
      <c r="CT20" s="28">
        <f t="shared" si="33"/>
        <v>0</v>
      </c>
      <c r="CU20" s="34">
        <v>45862</v>
      </c>
      <c r="CV20" s="35">
        <v>1</v>
      </c>
      <c r="CW20" s="35">
        <v>76</v>
      </c>
      <c r="CX20" s="35">
        <v>2</v>
      </c>
      <c r="CY20" s="35">
        <v>1</v>
      </c>
      <c r="CZ20" s="35" t="s">
        <v>93</v>
      </c>
      <c r="DA20" s="35">
        <v>1</v>
      </c>
      <c r="DB20" s="35" t="s">
        <v>279</v>
      </c>
      <c r="DC20" s="35">
        <v>0.27</v>
      </c>
      <c r="DD20" s="35">
        <v>221</v>
      </c>
      <c r="DE20" s="35">
        <v>507</v>
      </c>
      <c r="DF20" s="35">
        <v>76</v>
      </c>
      <c r="DG20" s="35">
        <v>5741</v>
      </c>
      <c r="DH20" s="35">
        <v>3.7999999999999999E-2</v>
      </c>
      <c r="DI20" s="35">
        <v>2.29</v>
      </c>
      <c r="DJ20" s="35">
        <v>1243</v>
      </c>
      <c r="DK20" s="35"/>
      <c r="DL20" s="35" t="s">
        <v>102</v>
      </c>
      <c r="DM20" s="11">
        <v>27</v>
      </c>
      <c r="DN20" s="11">
        <v>1</v>
      </c>
      <c r="DO20" s="11">
        <v>0.5</v>
      </c>
      <c r="DP20" s="11">
        <v>0.5</v>
      </c>
      <c r="DQ20" s="11">
        <v>0</v>
      </c>
      <c r="DR20" s="11">
        <v>0.5</v>
      </c>
      <c r="DS20" s="11">
        <v>0</v>
      </c>
      <c r="DT20" s="11">
        <v>0</v>
      </c>
      <c r="DU20" s="11">
        <v>0</v>
      </c>
      <c r="DV20" s="11">
        <v>359</v>
      </c>
      <c r="DW20" s="11">
        <v>64</v>
      </c>
      <c r="DX20" s="11">
        <v>2</v>
      </c>
      <c r="DY20" s="11"/>
      <c r="DZ20" s="11"/>
      <c r="EA20" s="11"/>
      <c r="EB20" s="11">
        <v>1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2</v>
      </c>
      <c r="EL20" s="6">
        <v>1</v>
      </c>
      <c r="EM20" s="6">
        <v>1</v>
      </c>
      <c r="EN20" s="6">
        <v>2</v>
      </c>
      <c r="EO20" s="6">
        <v>0</v>
      </c>
      <c r="EP20" s="6">
        <v>1</v>
      </c>
      <c r="EQ20" s="6">
        <v>1</v>
      </c>
      <c r="ER20" s="7">
        <v>0</v>
      </c>
      <c r="ES20" s="7">
        <v>0</v>
      </c>
      <c r="ET20" s="7">
        <v>0</v>
      </c>
      <c r="EU20" s="35"/>
      <c r="EV20" s="36"/>
      <c r="EW20" s="36"/>
      <c r="EX20" s="36"/>
    </row>
    <row r="21" spans="1:154" s="5" customFormat="1" ht="15.75" customHeight="1">
      <c r="A21" s="12">
        <v>70</v>
      </c>
      <c r="B21" s="12">
        <v>7042217</v>
      </c>
      <c r="C21" s="38" t="s">
        <v>226</v>
      </c>
      <c r="D21" s="38" t="s">
        <v>227</v>
      </c>
      <c r="E21" s="38">
        <v>1864339</v>
      </c>
      <c r="F21" s="12">
        <v>1563502</v>
      </c>
      <c r="G21" s="12">
        <v>5.79</v>
      </c>
      <c r="H21" s="12">
        <v>46.2</v>
      </c>
      <c r="I21" s="12">
        <v>15.1</v>
      </c>
      <c r="J21" s="12">
        <v>229</v>
      </c>
      <c r="K21" s="12">
        <v>4.45</v>
      </c>
      <c r="L21" s="12">
        <v>52.93</v>
      </c>
      <c r="M21" s="12">
        <v>0.75</v>
      </c>
      <c r="N21" s="12">
        <v>8.9</v>
      </c>
      <c r="O21" s="12">
        <v>0.06</v>
      </c>
      <c r="P21" s="12">
        <v>0.72</v>
      </c>
      <c r="Q21" s="12">
        <v>7.0000000000000007E-2</v>
      </c>
      <c r="R21" s="12">
        <v>0.87</v>
      </c>
      <c r="S21" s="12">
        <v>3.07</v>
      </c>
      <c r="T21" s="12">
        <v>36.58</v>
      </c>
      <c r="U21" s="12">
        <v>3664</v>
      </c>
      <c r="V21" s="12">
        <v>8.3000000000000007</v>
      </c>
      <c r="W21" s="28">
        <f t="shared" si="0"/>
        <v>304.11200000000002</v>
      </c>
      <c r="X21" s="12">
        <v>20.8</v>
      </c>
      <c r="Y21" s="28">
        <f t="shared" si="1"/>
        <v>762.11199999999997</v>
      </c>
      <c r="Z21" s="12">
        <v>73.7</v>
      </c>
      <c r="AA21" s="28">
        <f t="shared" si="2"/>
        <v>2700.3679999999999</v>
      </c>
      <c r="AB21" s="12">
        <v>49.3</v>
      </c>
      <c r="AC21" s="28">
        <f t="shared" si="3"/>
        <v>1806.3519999999999</v>
      </c>
      <c r="AD21" s="12">
        <v>23.2</v>
      </c>
      <c r="AE21" s="29">
        <f t="shared" si="4"/>
        <v>850.048</v>
      </c>
      <c r="AF21" s="30">
        <v>1.2</v>
      </c>
      <c r="AG21" s="29">
        <f t="shared" si="5"/>
        <v>43.968000000000004</v>
      </c>
      <c r="AH21" s="30">
        <v>73.2</v>
      </c>
      <c r="AI21" s="28">
        <f t="shared" si="6"/>
        <v>2682.0479999999998</v>
      </c>
      <c r="AJ21" s="30">
        <v>52.2</v>
      </c>
      <c r="AK21" s="28">
        <f t="shared" si="7"/>
        <v>1400.0290560000001</v>
      </c>
      <c r="AL21" s="12">
        <v>28.1</v>
      </c>
      <c r="AM21" s="28">
        <f t="shared" si="8"/>
        <v>393.40816473600006</v>
      </c>
      <c r="AN21" s="12">
        <v>59</v>
      </c>
      <c r="AO21" s="28">
        <f t="shared" si="9"/>
        <v>826.01714304000006</v>
      </c>
      <c r="AP21" s="12">
        <v>12.2</v>
      </c>
      <c r="AQ21" s="28">
        <f t="shared" si="10"/>
        <v>170.803544832</v>
      </c>
      <c r="AR21" s="12">
        <v>0.67</v>
      </c>
      <c r="AS21" s="28">
        <f t="shared" si="11"/>
        <v>9.3801946752000021</v>
      </c>
      <c r="AT21" s="12">
        <v>45.3</v>
      </c>
      <c r="AU21" s="28">
        <f t="shared" si="12"/>
        <v>1214.9677439999998</v>
      </c>
      <c r="AV21" s="12">
        <v>3.9</v>
      </c>
      <c r="AW21" s="28">
        <f t="shared" si="13"/>
        <v>47.383742015999985</v>
      </c>
      <c r="AX21" s="12">
        <v>25.8</v>
      </c>
      <c r="AY21" s="28">
        <f t="shared" si="14"/>
        <v>313.46167795199995</v>
      </c>
      <c r="AZ21" s="12">
        <v>30.3</v>
      </c>
      <c r="BA21" s="28">
        <f t="shared" si="15"/>
        <v>368.13522643199997</v>
      </c>
      <c r="BB21" s="12">
        <v>9.8000000000000007</v>
      </c>
      <c r="BC21" s="28">
        <f t="shared" si="16"/>
        <v>119.06683891199998</v>
      </c>
      <c r="BD21" s="12">
        <v>29.2</v>
      </c>
      <c r="BE21" s="28">
        <f t="shared" si="17"/>
        <v>354.77058124799993</v>
      </c>
      <c r="BF21" s="12">
        <v>0.14000000000000001</v>
      </c>
      <c r="BG21" s="28">
        <f t="shared" si="18"/>
        <v>3.7548672000000001</v>
      </c>
      <c r="BH21" s="12">
        <v>0.64</v>
      </c>
      <c r="BI21" s="28">
        <f t="shared" si="19"/>
        <v>17.165107200000001</v>
      </c>
      <c r="BJ21" s="12">
        <v>1.7</v>
      </c>
      <c r="BK21" s="28">
        <f t="shared" si="20"/>
        <v>45.594815999999994</v>
      </c>
      <c r="BL21" s="12">
        <v>8.5</v>
      </c>
      <c r="BM21" s="12"/>
      <c r="BN21" s="28">
        <f t="shared" si="21"/>
        <v>119.00246976</v>
      </c>
      <c r="BO21" s="12">
        <v>60.5</v>
      </c>
      <c r="BP21" s="12">
        <v>23.7</v>
      </c>
      <c r="BQ21" s="12">
        <v>9.5</v>
      </c>
      <c r="BR21" s="12">
        <v>31</v>
      </c>
      <c r="BS21" s="12">
        <v>22.2</v>
      </c>
      <c r="BT21" s="12">
        <v>10.3</v>
      </c>
      <c r="BU21" s="12">
        <v>48.6</v>
      </c>
      <c r="BV21" s="28">
        <f t="shared" si="22"/>
        <v>6804141.2121600006</v>
      </c>
      <c r="BW21" s="12">
        <v>21.8</v>
      </c>
      <c r="BX21" s="12">
        <v>34.9</v>
      </c>
      <c r="BY21" s="28">
        <f t="shared" si="23"/>
        <v>2374645.2830438404</v>
      </c>
      <c r="BZ21" s="12">
        <v>17.600000000000001</v>
      </c>
      <c r="CA21" s="28">
        <f t="shared" si="24"/>
        <v>1197528.8533401603</v>
      </c>
      <c r="CB21" s="12">
        <v>10.7</v>
      </c>
      <c r="CC21" s="28">
        <f t="shared" si="25"/>
        <v>728043.10970111995</v>
      </c>
      <c r="CD21" s="12">
        <v>8.8000000000000007</v>
      </c>
      <c r="CE21" s="28">
        <f t="shared" si="26"/>
        <v>598764.42667008017</v>
      </c>
      <c r="CF21" s="12">
        <v>6.2</v>
      </c>
      <c r="CG21" s="28">
        <f t="shared" si="27"/>
        <v>421856.75515392004</v>
      </c>
      <c r="CH21" s="12">
        <v>12.3</v>
      </c>
      <c r="CI21" s="28">
        <f t="shared" si="28"/>
        <v>172.20357388800002</v>
      </c>
      <c r="CJ21" s="12">
        <v>5.6</v>
      </c>
      <c r="CK21" s="12">
        <v>36.5</v>
      </c>
      <c r="CL21" s="28">
        <f t="shared" si="29"/>
        <v>628543.04469120002</v>
      </c>
      <c r="CM21" s="12">
        <v>21.7</v>
      </c>
      <c r="CN21" s="28">
        <f t="shared" si="30"/>
        <v>37.368175533696004</v>
      </c>
      <c r="CO21" s="12">
        <v>36.200000000000003</v>
      </c>
      <c r="CP21" s="28">
        <f t="shared" si="31"/>
        <v>62.337693747456015</v>
      </c>
      <c r="CQ21" s="12">
        <v>14.7</v>
      </c>
      <c r="CR21" s="28">
        <f t="shared" si="32"/>
        <v>538.60799999999995</v>
      </c>
      <c r="CS21" s="12">
        <v>0.26</v>
      </c>
      <c r="CT21" s="28">
        <f t="shared" si="33"/>
        <v>9.5264000000000006</v>
      </c>
      <c r="CU21" s="39">
        <v>45988</v>
      </c>
      <c r="CV21" s="4">
        <v>0</v>
      </c>
      <c r="CW21" s="4">
        <v>73</v>
      </c>
      <c r="CX21" s="4">
        <v>3</v>
      </c>
      <c r="CY21" s="4">
        <v>2</v>
      </c>
      <c r="CZ21" s="4" t="s">
        <v>283</v>
      </c>
      <c r="DA21" s="4">
        <v>0</v>
      </c>
      <c r="DB21" s="4" t="s">
        <v>397</v>
      </c>
      <c r="DC21" s="4">
        <v>0.17</v>
      </c>
      <c r="DD21" s="4">
        <v>903</v>
      </c>
      <c r="DE21" s="4">
        <v>384</v>
      </c>
      <c r="DF21" s="4">
        <v>52</v>
      </c>
      <c r="DG21" s="4">
        <v>12211</v>
      </c>
      <c r="DH21" s="4">
        <v>7.3999999999999996E-2</v>
      </c>
      <c r="DI21" s="4">
        <v>0.43</v>
      </c>
      <c r="DJ21" s="4">
        <v>2573</v>
      </c>
      <c r="DK21" s="4">
        <v>22</v>
      </c>
      <c r="DL21" s="11" t="s">
        <v>95</v>
      </c>
      <c r="DM21" s="4">
        <v>30</v>
      </c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>
        <v>1</v>
      </c>
      <c r="DY21" s="4"/>
      <c r="DZ21" s="4"/>
      <c r="EA21" s="4"/>
      <c r="EB21" s="4">
        <v>1</v>
      </c>
      <c r="EC21" s="6">
        <v>1</v>
      </c>
      <c r="ED21" s="6">
        <v>1</v>
      </c>
      <c r="EE21" s="6">
        <v>0</v>
      </c>
      <c r="EF21" s="6">
        <v>0</v>
      </c>
      <c r="EG21" s="6">
        <v>0</v>
      </c>
      <c r="EH21" s="6">
        <v>1</v>
      </c>
      <c r="EI21" s="6">
        <v>1</v>
      </c>
      <c r="EJ21" s="6">
        <v>0</v>
      </c>
      <c r="EK21" s="6">
        <v>1</v>
      </c>
      <c r="EL21" s="6">
        <v>1</v>
      </c>
      <c r="EM21" s="6">
        <v>1</v>
      </c>
      <c r="EN21" s="6">
        <v>1</v>
      </c>
      <c r="EO21" s="6">
        <v>0</v>
      </c>
      <c r="EP21" s="6">
        <v>0</v>
      </c>
      <c r="EQ21" s="6">
        <v>1</v>
      </c>
      <c r="ER21" s="6">
        <v>0</v>
      </c>
      <c r="ES21" s="6">
        <v>0</v>
      </c>
      <c r="ET21" s="6">
        <v>0</v>
      </c>
      <c r="EU21" s="4"/>
      <c r="EV21" s="4"/>
      <c r="EW21" s="4"/>
      <c r="EX21" s="4"/>
    </row>
    <row r="22" spans="1:154" s="5" customFormat="1" ht="15.75" customHeight="1">
      <c r="A22" s="12">
        <v>80</v>
      </c>
      <c r="B22" s="12">
        <v>7042612</v>
      </c>
      <c r="C22" s="12" t="s">
        <v>104</v>
      </c>
      <c r="D22" s="12" t="s">
        <v>105</v>
      </c>
      <c r="E22" s="12">
        <v>3363877</v>
      </c>
      <c r="F22" s="12">
        <v>1565013</v>
      </c>
      <c r="G22" s="12">
        <v>4.17</v>
      </c>
      <c r="H22" s="12">
        <v>34</v>
      </c>
      <c r="I22" s="12">
        <v>11.4</v>
      </c>
      <c r="J22" s="12">
        <v>253</v>
      </c>
      <c r="K22" s="12">
        <v>1.78</v>
      </c>
      <c r="L22" s="12">
        <v>45.59</v>
      </c>
      <c r="M22" s="12">
        <v>0.31</v>
      </c>
      <c r="N22" s="12">
        <v>8.02</v>
      </c>
      <c r="O22" s="12">
        <v>0.06</v>
      </c>
      <c r="P22" s="12">
        <v>1.41</v>
      </c>
      <c r="Q22" s="12">
        <v>0.06</v>
      </c>
      <c r="R22" s="12">
        <v>1.57</v>
      </c>
      <c r="S22" s="12">
        <v>1.69</v>
      </c>
      <c r="T22" s="12">
        <v>43.41</v>
      </c>
      <c r="U22" s="12">
        <v>1934</v>
      </c>
      <c r="V22" s="12">
        <v>8.6999999999999993</v>
      </c>
      <c r="W22" s="28">
        <f t="shared" si="0"/>
        <v>168.25799999999998</v>
      </c>
      <c r="X22" s="12">
        <v>59.8</v>
      </c>
      <c r="Y22" s="28">
        <f t="shared" si="1"/>
        <v>1156.5319999999999</v>
      </c>
      <c r="Z22" s="12">
        <v>40</v>
      </c>
      <c r="AA22" s="28">
        <f t="shared" si="2"/>
        <v>773.6</v>
      </c>
      <c r="AB22" s="12">
        <v>24.5</v>
      </c>
      <c r="AC22" s="28">
        <f t="shared" si="3"/>
        <v>473.83</v>
      </c>
      <c r="AD22" s="12">
        <v>14.9</v>
      </c>
      <c r="AE22" s="29">
        <f t="shared" si="4"/>
        <v>288.166</v>
      </c>
      <c r="AF22" s="30">
        <v>0.49</v>
      </c>
      <c r="AG22" s="29">
        <f t="shared" si="5"/>
        <v>9.4765999999999995</v>
      </c>
      <c r="AH22" s="30">
        <v>71.400000000000006</v>
      </c>
      <c r="AI22" s="28">
        <f t="shared" si="6"/>
        <v>1380.876</v>
      </c>
      <c r="AJ22" s="30">
        <v>54.9</v>
      </c>
      <c r="AK22" s="28">
        <f t="shared" si="7"/>
        <v>758.10092399999996</v>
      </c>
      <c r="AL22" s="12">
        <v>28.7</v>
      </c>
      <c r="AM22" s="28">
        <f t="shared" si="8"/>
        <v>217.57496518799999</v>
      </c>
      <c r="AN22" s="12">
        <v>53.6</v>
      </c>
      <c r="AO22" s="28">
        <f t="shared" si="9"/>
        <v>406.34209526400002</v>
      </c>
      <c r="AP22" s="12">
        <v>17.5</v>
      </c>
      <c r="AQ22" s="28">
        <f t="shared" si="10"/>
        <v>132.6676617</v>
      </c>
      <c r="AR22" s="12">
        <v>0.19</v>
      </c>
      <c r="AS22" s="28">
        <f t="shared" si="11"/>
        <v>1.4403917555999999</v>
      </c>
      <c r="AT22" s="12">
        <v>33.299999999999997</v>
      </c>
      <c r="AU22" s="28">
        <f t="shared" si="12"/>
        <v>459.83170799999994</v>
      </c>
      <c r="AV22" s="12">
        <v>9</v>
      </c>
      <c r="AW22" s="28">
        <f t="shared" si="13"/>
        <v>41.384853719999995</v>
      </c>
      <c r="AX22" s="12">
        <v>52.4</v>
      </c>
      <c r="AY22" s="28">
        <f t="shared" si="14"/>
        <v>240.95181499199995</v>
      </c>
      <c r="AZ22" s="12">
        <v>2.7</v>
      </c>
      <c r="BA22" s="28">
        <f t="shared" si="15"/>
        <v>12.415456115999998</v>
      </c>
      <c r="BB22" s="12">
        <v>17.600000000000001</v>
      </c>
      <c r="BC22" s="28">
        <f t="shared" si="16"/>
        <v>80.930380607999993</v>
      </c>
      <c r="BD22" s="12">
        <v>18.2</v>
      </c>
      <c r="BE22" s="28">
        <f t="shared" si="17"/>
        <v>83.689370855999982</v>
      </c>
      <c r="BF22" s="12">
        <v>0.27</v>
      </c>
      <c r="BG22" s="28">
        <f t="shared" si="18"/>
        <v>3.7283652000000003</v>
      </c>
      <c r="BH22" s="12">
        <v>0.93</v>
      </c>
      <c r="BI22" s="28">
        <f t="shared" si="19"/>
        <v>12.8421468</v>
      </c>
      <c r="BJ22" s="12">
        <v>10.6</v>
      </c>
      <c r="BK22" s="28">
        <f t="shared" si="20"/>
        <v>146.37285599999998</v>
      </c>
      <c r="BL22" s="12">
        <v>11.4</v>
      </c>
      <c r="BM22" s="12"/>
      <c r="BN22" s="28">
        <f t="shared" si="21"/>
        <v>86.423505336000005</v>
      </c>
      <c r="BO22" s="12">
        <v>53.2</v>
      </c>
      <c r="BP22" s="12">
        <v>24.4</v>
      </c>
      <c r="BQ22" s="12">
        <v>23.3</v>
      </c>
      <c r="BR22" s="12">
        <v>25.9</v>
      </c>
      <c r="BS22" s="12">
        <v>13.2</v>
      </c>
      <c r="BT22" s="12">
        <v>14.2</v>
      </c>
      <c r="BU22" s="12">
        <v>46.4</v>
      </c>
      <c r="BV22" s="28">
        <f t="shared" si="22"/>
        <v>3517588.28736</v>
      </c>
      <c r="BW22" s="12">
        <v>29.8</v>
      </c>
      <c r="BX22" s="12">
        <v>18.7</v>
      </c>
      <c r="BY22" s="28">
        <f t="shared" si="23"/>
        <v>657789.00973632</v>
      </c>
      <c r="BZ22" s="12">
        <v>25.9</v>
      </c>
      <c r="CA22" s="28">
        <f t="shared" si="24"/>
        <v>911055.36642623995</v>
      </c>
      <c r="CB22" s="12">
        <v>15.1</v>
      </c>
      <c r="CC22" s="28">
        <f t="shared" si="25"/>
        <v>531155.83139136003</v>
      </c>
      <c r="CD22" s="12">
        <v>7.4</v>
      </c>
      <c r="CE22" s="28">
        <f t="shared" si="26"/>
        <v>260301.53326464002</v>
      </c>
      <c r="CF22" s="12">
        <v>3.1</v>
      </c>
      <c r="CG22" s="28">
        <f t="shared" si="27"/>
        <v>109045.23690816</v>
      </c>
      <c r="CH22" s="12">
        <v>13</v>
      </c>
      <c r="CI22" s="28">
        <f t="shared" si="28"/>
        <v>98.553120120000003</v>
      </c>
      <c r="CJ22" s="12">
        <v>5.6</v>
      </c>
      <c r="CK22" s="12">
        <v>30.9</v>
      </c>
      <c r="CL22" s="28">
        <f t="shared" si="29"/>
        <v>304529.14117079997</v>
      </c>
      <c r="CM22" s="12">
        <v>19.100000000000001</v>
      </c>
      <c r="CN22" s="28">
        <f t="shared" si="30"/>
        <v>18.823645942920002</v>
      </c>
      <c r="CO22" s="12">
        <v>44.4</v>
      </c>
      <c r="CP22" s="28">
        <f t="shared" si="31"/>
        <v>43.757585333280005</v>
      </c>
      <c r="CQ22" s="12">
        <v>15.4</v>
      </c>
      <c r="CR22" s="28">
        <f t="shared" si="32"/>
        <v>297.83600000000001</v>
      </c>
      <c r="CS22" s="12">
        <v>0.15</v>
      </c>
      <c r="CT22" s="28">
        <f t="shared" si="33"/>
        <v>2.9009999999999998</v>
      </c>
      <c r="CU22" s="27">
        <v>46009</v>
      </c>
      <c r="CV22" s="11">
        <v>1</v>
      </c>
      <c r="CW22" s="11">
        <v>66</v>
      </c>
      <c r="CX22" s="11">
        <v>2</v>
      </c>
      <c r="CY22" s="11">
        <v>1</v>
      </c>
      <c r="CZ22" s="11" t="s">
        <v>93</v>
      </c>
      <c r="DA22" s="11">
        <v>1</v>
      </c>
      <c r="DB22" s="11" t="s">
        <v>282</v>
      </c>
      <c r="DC22" s="11">
        <v>0.24</v>
      </c>
      <c r="DD22" s="11">
        <v>447</v>
      </c>
      <c r="DE22" s="11">
        <v>132</v>
      </c>
      <c r="DF22" s="11">
        <v>19</v>
      </c>
      <c r="DG22" s="11">
        <v>9187</v>
      </c>
      <c r="DH22" s="11">
        <v>4.9000000000000002E-2</v>
      </c>
      <c r="DI22" s="11">
        <v>0.3</v>
      </c>
      <c r="DJ22" s="11">
        <v>296</v>
      </c>
      <c r="DK22" s="11">
        <v>13.54</v>
      </c>
      <c r="DL22" s="11" t="s">
        <v>95</v>
      </c>
      <c r="DM22" s="11">
        <v>23</v>
      </c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>
        <v>1</v>
      </c>
      <c r="DY22" s="11"/>
      <c r="DZ22" s="11"/>
      <c r="EA22" s="11"/>
      <c r="EB22" s="11">
        <v>1</v>
      </c>
      <c r="EC22" s="6">
        <v>0</v>
      </c>
      <c r="ED22" s="6">
        <v>1</v>
      </c>
      <c r="EE22" s="6">
        <v>0</v>
      </c>
      <c r="EF22" s="6">
        <v>0</v>
      </c>
      <c r="EG22" s="6">
        <v>0</v>
      </c>
      <c r="EH22" s="6">
        <v>1</v>
      </c>
      <c r="EI22" s="6">
        <v>0</v>
      </c>
      <c r="EJ22" s="6">
        <v>0</v>
      </c>
      <c r="EK22" s="6">
        <v>1</v>
      </c>
      <c r="EL22" s="6">
        <v>0</v>
      </c>
      <c r="EM22" s="6">
        <v>0</v>
      </c>
      <c r="EN22" s="6">
        <v>1</v>
      </c>
      <c r="EO22" s="6">
        <v>0</v>
      </c>
      <c r="EP22" s="6">
        <v>1</v>
      </c>
      <c r="EQ22" s="6">
        <v>1</v>
      </c>
      <c r="ER22" s="6">
        <v>0</v>
      </c>
      <c r="ES22" s="6">
        <v>0</v>
      </c>
      <c r="ET22" s="6">
        <v>0</v>
      </c>
      <c r="EU22" s="11"/>
      <c r="EV22" s="4"/>
      <c r="EW22" s="4"/>
      <c r="EX22" s="4"/>
    </row>
    <row r="23" spans="1:154" s="5" customFormat="1" ht="15.75" customHeight="1">
      <c r="A23" s="12">
        <v>23</v>
      </c>
      <c r="B23" s="12">
        <v>7039870</v>
      </c>
      <c r="C23" s="12" t="s">
        <v>106</v>
      </c>
      <c r="D23" s="12" t="s">
        <v>107</v>
      </c>
      <c r="E23" s="12">
        <v>3005094</v>
      </c>
      <c r="F23" s="12">
        <v>1585510</v>
      </c>
      <c r="G23" s="12">
        <v>3.98</v>
      </c>
      <c r="H23" s="12">
        <v>39.200000000000003</v>
      </c>
      <c r="I23" s="12">
        <v>13.1</v>
      </c>
      <c r="J23" s="12">
        <v>267</v>
      </c>
      <c r="K23" s="12">
        <v>3.22</v>
      </c>
      <c r="L23" s="12">
        <v>60.04</v>
      </c>
      <c r="M23" s="12">
        <v>0.41</v>
      </c>
      <c r="N23" s="12">
        <v>7.7</v>
      </c>
      <c r="O23" s="12">
        <v>0.22</v>
      </c>
      <c r="P23" s="12">
        <v>4.0999999999999996</v>
      </c>
      <c r="Q23" s="12">
        <v>0.04</v>
      </c>
      <c r="R23" s="12">
        <v>0.82</v>
      </c>
      <c r="S23" s="12">
        <v>1.47</v>
      </c>
      <c r="T23" s="12">
        <v>27.34</v>
      </c>
      <c r="U23" s="12">
        <v>1597</v>
      </c>
      <c r="V23" s="12">
        <v>4.8</v>
      </c>
      <c r="W23" s="28">
        <f t="shared" si="0"/>
        <v>76.655999999999992</v>
      </c>
      <c r="X23" s="12">
        <v>53</v>
      </c>
      <c r="Y23" s="28">
        <f t="shared" si="1"/>
        <v>846.41</v>
      </c>
      <c r="Z23" s="12">
        <v>43.9</v>
      </c>
      <c r="AA23" s="28">
        <f t="shared" si="2"/>
        <v>701.08300000000008</v>
      </c>
      <c r="AB23" s="12">
        <v>17.8</v>
      </c>
      <c r="AC23" s="28">
        <f t="shared" si="3"/>
        <v>284.26600000000002</v>
      </c>
      <c r="AD23" s="12">
        <v>26.1</v>
      </c>
      <c r="AE23" s="29">
        <f t="shared" si="4"/>
        <v>416.81700000000006</v>
      </c>
      <c r="AF23" s="6"/>
      <c r="AG23" s="26"/>
      <c r="AH23" s="30">
        <v>76.8</v>
      </c>
      <c r="AI23" s="28">
        <f t="shared" si="6"/>
        <v>1226.4959999999999</v>
      </c>
      <c r="AJ23" s="30">
        <v>61.2</v>
      </c>
      <c r="AK23" s="28">
        <f t="shared" si="7"/>
        <v>750.61555199999998</v>
      </c>
      <c r="AL23" s="12">
        <v>31.6</v>
      </c>
      <c r="AM23" s="28">
        <f t="shared" si="8"/>
        <v>237.19451443200001</v>
      </c>
      <c r="AN23" s="12">
        <v>58.1</v>
      </c>
      <c r="AO23" s="28">
        <f t="shared" si="9"/>
        <v>436.10763571199999</v>
      </c>
      <c r="AP23" s="12">
        <v>9.4</v>
      </c>
      <c r="AQ23" s="28">
        <f t="shared" si="10"/>
        <v>70.557861887999991</v>
      </c>
      <c r="AR23" s="12">
        <v>0.28000000000000003</v>
      </c>
      <c r="AS23" s="28">
        <f t="shared" si="11"/>
        <v>2.1017235456000001</v>
      </c>
      <c r="AT23" s="12">
        <v>32.4</v>
      </c>
      <c r="AU23" s="28">
        <f t="shared" si="12"/>
        <v>397.38470399999989</v>
      </c>
      <c r="AV23" s="12">
        <v>43</v>
      </c>
      <c r="AW23" s="28">
        <f t="shared" si="13"/>
        <v>170.87542271999996</v>
      </c>
      <c r="AX23" s="12">
        <v>24.2</v>
      </c>
      <c r="AY23" s="28">
        <f t="shared" si="14"/>
        <v>96.167098367999969</v>
      </c>
      <c r="AZ23" s="12">
        <v>4.0999999999999996</v>
      </c>
      <c r="BA23" s="28">
        <f t="shared" si="15"/>
        <v>16.292772863999993</v>
      </c>
      <c r="BB23" s="12">
        <v>1.4</v>
      </c>
      <c r="BC23" s="28">
        <f t="shared" si="16"/>
        <v>5.5633858559999974</v>
      </c>
      <c r="BD23" s="12">
        <v>25.1</v>
      </c>
      <c r="BE23" s="28">
        <f t="shared" si="17"/>
        <v>99.743560703999975</v>
      </c>
      <c r="BF23" s="12">
        <v>1.2</v>
      </c>
      <c r="BG23" s="28">
        <f t="shared" si="18"/>
        <v>14.717951999999999</v>
      </c>
      <c r="BH23" s="12">
        <v>0.45</v>
      </c>
      <c r="BI23" s="28">
        <f t="shared" si="19"/>
        <v>5.5192319999999997</v>
      </c>
      <c r="BJ23" s="12">
        <v>4.7</v>
      </c>
      <c r="BK23" s="28">
        <f t="shared" si="20"/>
        <v>57.645311999999997</v>
      </c>
      <c r="BL23" s="12">
        <v>6.9</v>
      </c>
      <c r="BM23" s="12"/>
      <c r="BN23" s="28">
        <f t="shared" si="21"/>
        <v>51.792473087999994</v>
      </c>
      <c r="BO23" s="12">
        <v>55.8</v>
      </c>
      <c r="BP23" s="12">
        <v>30</v>
      </c>
      <c r="BQ23" s="12">
        <v>12</v>
      </c>
      <c r="BR23" s="12">
        <v>14.4</v>
      </c>
      <c r="BS23" s="12">
        <v>9.6999999999999993</v>
      </c>
      <c r="BT23" s="12">
        <v>12.4</v>
      </c>
      <c r="BU23" s="12">
        <v>43.3</v>
      </c>
      <c r="BV23" s="28">
        <f t="shared" si="22"/>
        <v>3250165.3401599997</v>
      </c>
      <c r="BW23" s="12">
        <v>36.4</v>
      </c>
      <c r="BX23" s="12">
        <v>18</v>
      </c>
      <c r="BY23" s="28">
        <f t="shared" si="23"/>
        <v>585029.76122879994</v>
      </c>
      <c r="BZ23" s="12">
        <v>28.3</v>
      </c>
      <c r="CA23" s="28">
        <f t="shared" si="24"/>
        <v>919796.79126527999</v>
      </c>
      <c r="CB23" s="12">
        <v>7.6</v>
      </c>
      <c r="CC23" s="28">
        <f t="shared" si="25"/>
        <v>247012.56585215998</v>
      </c>
      <c r="CD23" s="12">
        <v>7.4</v>
      </c>
      <c r="CE23" s="28">
        <f t="shared" si="26"/>
        <v>240512.23517184</v>
      </c>
      <c r="CF23" s="12">
        <v>2.2999999999999998</v>
      </c>
      <c r="CG23" s="28">
        <f t="shared" si="27"/>
        <v>74753.802823679987</v>
      </c>
      <c r="CH23" s="12">
        <v>10</v>
      </c>
      <c r="CI23" s="28">
        <f t="shared" si="28"/>
        <v>75.061555200000001</v>
      </c>
      <c r="CJ23" s="12">
        <v>100</v>
      </c>
      <c r="CK23" s="12">
        <v>0</v>
      </c>
      <c r="CL23" s="28">
        <f t="shared" si="29"/>
        <v>0</v>
      </c>
      <c r="CM23" s="12">
        <v>0</v>
      </c>
      <c r="CN23" s="28">
        <f t="shared" si="30"/>
        <v>0</v>
      </c>
      <c r="CO23" s="12">
        <v>0</v>
      </c>
      <c r="CP23" s="28">
        <f t="shared" si="31"/>
        <v>0</v>
      </c>
      <c r="CQ23" s="12">
        <v>13.9</v>
      </c>
      <c r="CR23" s="28">
        <f t="shared" si="32"/>
        <v>221.983</v>
      </c>
      <c r="CS23" s="12">
        <v>0</v>
      </c>
      <c r="CT23" s="28">
        <f t="shared" si="33"/>
        <v>0</v>
      </c>
      <c r="CU23" s="27">
        <v>45862</v>
      </c>
      <c r="CV23" s="11">
        <v>1</v>
      </c>
      <c r="CW23" s="11">
        <v>77</v>
      </c>
      <c r="CX23" s="11">
        <v>0</v>
      </c>
      <c r="CY23" s="11">
        <v>0</v>
      </c>
      <c r="CZ23" s="11" t="s">
        <v>263</v>
      </c>
      <c r="DA23" s="11">
        <v>0</v>
      </c>
      <c r="DB23" s="11" t="s">
        <v>234</v>
      </c>
      <c r="DC23" s="11">
        <v>0.12</v>
      </c>
      <c r="DD23" s="11">
        <v>929</v>
      </c>
      <c r="DE23" s="11">
        <v>211</v>
      </c>
      <c r="DF23" s="11">
        <v>29</v>
      </c>
      <c r="DG23" s="11">
        <v>9701</v>
      </c>
      <c r="DH23" s="11">
        <v>9.6000000000000002E-2</v>
      </c>
      <c r="DI23" s="11">
        <v>0.23</v>
      </c>
      <c r="DJ23" s="11">
        <v>734</v>
      </c>
      <c r="DK23" s="11">
        <v>30.43</v>
      </c>
      <c r="DL23" s="11" t="s">
        <v>102</v>
      </c>
      <c r="DM23" s="11">
        <v>26</v>
      </c>
      <c r="DN23" s="11">
        <v>0.5</v>
      </c>
      <c r="DO23" s="11"/>
      <c r="DP23" s="11">
        <v>0</v>
      </c>
      <c r="DQ23" s="11">
        <v>0</v>
      </c>
      <c r="DR23" s="11">
        <v>0.5</v>
      </c>
      <c r="DS23" s="11">
        <v>0</v>
      </c>
      <c r="DT23" s="11">
        <v>0</v>
      </c>
      <c r="DU23" s="11">
        <v>0</v>
      </c>
      <c r="DV23" s="11">
        <v>372</v>
      </c>
      <c r="DW23" s="11">
        <v>67</v>
      </c>
      <c r="DX23" s="11"/>
      <c r="DY23" s="11"/>
      <c r="DZ23" s="11"/>
      <c r="EA23" s="11"/>
      <c r="EB23" s="11">
        <v>1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1</v>
      </c>
      <c r="EL23" s="6">
        <v>0</v>
      </c>
      <c r="EM23" s="6">
        <v>1</v>
      </c>
      <c r="EN23" s="6">
        <v>1</v>
      </c>
      <c r="EO23" s="6">
        <v>0</v>
      </c>
      <c r="EP23" s="6">
        <v>1</v>
      </c>
      <c r="EQ23" s="6">
        <v>1</v>
      </c>
      <c r="ER23" s="6">
        <v>0</v>
      </c>
      <c r="ES23" s="6">
        <v>0</v>
      </c>
      <c r="ET23" s="6">
        <v>0</v>
      </c>
      <c r="EU23" s="11"/>
      <c r="EV23" s="4"/>
      <c r="EW23" s="4"/>
      <c r="EX23" s="4"/>
    </row>
    <row r="24" spans="1:154" s="5" customFormat="1" ht="15.75" customHeight="1">
      <c r="A24" s="12">
        <v>2</v>
      </c>
      <c r="B24" s="12">
        <v>7039018</v>
      </c>
      <c r="C24" s="12" t="s">
        <v>108</v>
      </c>
      <c r="D24" s="12" t="s">
        <v>109</v>
      </c>
      <c r="E24" s="12">
        <v>1990399</v>
      </c>
      <c r="F24" s="12">
        <v>1598066</v>
      </c>
      <c r="G24" s="6">
        <v>4.96</v>
      </c>
      <c r="H24" s="6">
        <v>47.8</v>
      </c>
      <c r="I24" s="6">
        <v>15.5</v>
      </c>
      <c r="J24" s="6">
        <v>210</v>
      </c>
      <c r="K24" s="6">
        <v>1.96</v>
      </c>
      <c r="L24" s="6">
        <v>38.5</v>
      </c>
      <c r="M24" s="6">
        <v>0.45</v>
      </c>
      <c r="N24" s="6">
        <v>8.9</v>
      </c>
      <c r="O24" s="6">
        <v>0.25</v>
      </c>
      <c r="P24" s="6">
        <v>4.9000000000000004</v>
      </c>
      <c r="Q24" s="6">
        <v>0.05</v>
      </c>
      <c r="R24" s="6">
        <v>1</v>
      </c>
      <c r="S24" s="6">
        <v>2.37</v>
      </c>
      <c r="T24" s="6">
        <v>46.7</v>
      </c>
      <c r="U24" s="6"/>
      <c r="V24" s="6"/>
      <c r="W24" s="6"/>
      <c r="X24" s="6"/>
      <c r="Y24" s="6"/>
      <c r="Z24" s="6"/>
      <c r="AA24" s="6"/>
      <c r="AB24" s="6"/>
      <c r="AC24" s="28"/>
      <c r="AD24" s="6"/>
      <c r="AE24" s="29"/>
      <c r="AF24" s="6"/>
      <c r="AG24" s="26"/>
      <c r="AH24" s="6"/>
      <c r="AI24" s="28"/>
      <c r="AJ24" s="6"/>
      <c r="AK24" s="28"/>
      <c r="AL24" s="6"/>
      <c r="AM24" s="28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28"/>
      <c r="BO24" s="6"/>
      <c r="BP24" s="6"/>
      <c r="BQ24" s="6"/>
      <c r="BR24" s="6"/>
      <c r="BS24" s="6"/>
      <c r="BT24" s="6"/>
      <c r="BU24" s="6"/>
      <c r="BV24" s="28"/>
      <c r="BW24" s="6"/>
      <c r="BX24" s="6"/>
      <c r="BY24" s="28"/>
      <c r="BZ24" s="6"/>
      <c r="CA24" s="28"/>
      <c r="CB24" s="6"/>
      <c r="CC24" s="28"/>
      <c r="CD24" s="6"/>
      <c r="CE24" s="28"/>
      <c r="CF24" s="6"/>
      <c r="CG24" s="28"/>
      <c r="CH24" s="6"/>
      <c r="CI24" s="28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28"/>
      <c r="CU24" s="27">
        <v>45814</v>
      </c>
      <c r="CV24" s="11">
        <v>0</v>
      </c>
      <c r="CW24" s="11">
        <v>74</v>
      </c>
      <c r="CX24" s="11">
        <v>2</v>
      </c>
      <c r="CY24" s="11">
        <v>1</v>
      </c>
      <c r="CZ24" s="11" t="s">
        <v>93</v>
      </c>
      <c r="DA24" s="11">
        <v>1</v>
      </c>
      <c r="DB24" s="11" t="s">
        <v>94</v>
      </c>
      <c r="DC24" s="11">
        <v>0.2</v>
      </c>
      <c r="DD24" s="11">
        <v>586</v>
      </c>
      <c r="DE24" s="11">
        <v>251</v>
      </c>
      <c r="DF24" s="11">
        <v>36</v>
      </c>
      <c r="DG24" s="11">
        <v>10.542999999999999</v>
      </c>
      <c r="DH24" s="11">
        <v>5.6000000000000001E-2</v>
      </c>
      <c r="DI24" s="11">
        <v>0.43</v>
      </c>
      <c r="DJ24" s="11">
        <v>578</v>
      </c>
      <c r="DK24" s="11">
        <v>19.37</v>
      </c>
      <c r="DL24" s="11" t="s">
        <v>95</v>
      </c>
      <c r="DM24" s="11">
        <v>26</v>
      </c>
      <c r="DN24" s="11">
        <v>1</v>
      </c>
      <c r="DO24" s="11">
        <v>0.5</v>
      </c>
      <c r="DP24" s="11">
        <v>0.5</v>
      </c>
      <c r="DQ24" s="11">
        <v>0.5</v>
      </c>
      <c r="DR24" s="11">
        <v>0</v>
      </c>
      <c r="DS24" s="11">
        <v>0</v>
      </c>
      <c r="DT24" s="11">
        <v>0</v>
      </c>
      <c r="DU24" s="11">
        <v>0</v>
      </c>
      <c r="DV24" s="11">
        <v>439</v>
      </c>
      <c r="DW24" s="11">
        <v>83</v>
      </c>
      <c r="DX24" s="11">
        <v>1</v>
      </c>
      <c r="DY24" s="11"/>
      <c r="DZ24" s="11"/>
      <c r="EA24" s="11"/>
      <c r="EB24" s="11">
        <v>0</v>
      </c>
      <c r="EC24" s="6">
        <v>0</v>
      </c>
      <c r="ED24" s="6">
        <v>1</v>
      </c>
      <c r="EE24" s="6">
        <v>0</v>
      </c>
      <c r="EF24" s="6">
        <v>0</v>
      </c>
      <c r="EG24" s="6">
        <v>0</v>
      </c>
      <c r="EH24" s="6">
        <v>1</v>
      </c>
      <c r="EI24" s="6">
        <v>0</v>
      </c>
      <c r="EJ24" s="6">
        <v>0</v>
      </c>
      <c r="EK24" s="6">
        <v>1</v>
      </c>
      <c r="EL24" s="6">
        <v>1</v>
      </c>
      <c r="EM24" s="6">
        <v>1</v>
      </c>
      <c r="EN24" s="6">
        <v>1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11"/>
      <c r="EV24" s="4"/>
      <c r="EW24" s="4"/>
      <c r="EX24" s="4"/>
    </row>
    <row r="25" spans="1:154" s="5" customFormat="1" ht="15.75" customHeight="1">
      <c r="A25" s="12">
        <v>48</v>
      </c>
      <c r="B25" s="12">
        <v>7040998</v>
      </c>
      <c r="C25" s="12" t="s">
        <v>110</v>
      </c>
      <c r="D25" s="12" t="s">
        <v>111</v>
      </c>
      <c r="E25" s="12">
        <v>3022816</v>
      </c>
      <c r="F25" s="12">
        <v>1619221</v>
      </c>
      <c r="G25" s="12">
        <v>4.83</v>
      </c>
      <c r="H25" s="12">
        <v>44.4</v>
      </c>
      <c r="I25" s="12">
        <v>14.6</v>
      </c>
      <c r="J25" s="12">
        <v>339</v>
      </c>
      <c r="K25" s="12">
        <v>5.73</v>
      </c>
      <c r="L25" s="12">
        <v>66.63</v>
      </c>
      <c r="M25" s="12">
        <v>0.77</v>
      </c>
      <c r="N25" s="12">
        <v>8.9600000000000009</v>
      </c>
      <c r="O25" s="12">
        <v>0.19</v>
      </c>
      <c r="P25" s="12">
        <v>2.23</v>
      </c>
      <c r="Q25" s="12">
        <v>0.06</v>
      </c>
      <c r="R25" s="12">
        <v>0.7</v>
      </c>
      <c r="S25" s="12">
        <v>1.85</v>
      </c>
      <c r="T25" s="12">
        <v>21.48</v>
      </c>
      <c r="U25" s="12">
        <v>2059</v>
      </c>
      <c r="V25" s="12">
        <v>4.9000000000000004</v>
      </c>
      <c r="W25" s="28">
        <f t="shared" si="0"/>
        <v>100.89100000000001</v>
      </c>
      <c r="X25" s="12">
        <v>36.4</v>
      </c>
      <c r="Y25" s="28">
        <f t="shared" si="1"/>
        <v>749.47599999999989</v>
      </c>
      <c r="Z25" s="12">
        <v>60.7</v>
      </c>
      <c r="AA25" s="28">
        <f t="shared" si="2"/>
        <v>1249.8130000000001</v>
      </c>
      <c r="AB25" s="12">
        <v>30.2</v>
      </c>
      <c r="AC25" s="28">
        <f t="shared" si="3"/>
        <v>621.81799999999998</v>
      </c>
      <c r="AD25" s="12">
        <v>29.7</v>
      </c>
      <c r="AE25" s="29">
        <f t="shared" si="4"/>
        <v>611.52299999999991</v>
      </c>
      <c r="AF25" s="30">
        <v>0.7</v>
      </c>
      <c r="AG25" s="29">
        <f t="shared" si="5"/>
        <v>14.413</v>
      </c>
      <c r="AH25" s="30">
        <v>83.5</v>
      </c>
      <c r="AI25" s="28">
        <f t="shared" si="6"/>
        <v>1719.2650000000001</v>
      </c>
      <c r="AJ25" s="30">
        <v>55.2</v>
      </c>
      <c r="AK25" s="28">
        <f t="shared" si="7"/>
        <v>949.03428000000019</v>
      </c>
      <c r="AL25" s="12">
        <v>50.1</v>
      </c>
      <c r="AM25" s="28">
        <f t="shared" si="8"/>
        <v>475.46617428000013</v>
      </c>
      <c r="AN25" s="12">
        <v>46</v>
      </c>
      <c r="AO25" s="28">
        <f t="shared" si="9"/>
        <v>436.55576880000007</v>
      </c>
      <c r="AP25" s="12">
        <v>3.4</v>
      </c>
      <c r="AQ25" s="28">
        <f t="shared" si="10"/>
        <v>32.267165520000006</v>
      </c>
      <c r="AR25" s="12">
        <v>0.41</v>
      </c>
      <c r="AS25" s="28">
        <f t="shared" si="11"/>
        <v>3.8910405480000003</v>
      </c>
      <c r="AT25" s="12">
        <v>41.7</v>
      </c>
      <c r="AU25" s="28">
        <f t="shared" si="12"/>
        <v>716.9335050000002</v>
      </c>
      <c r="AV25" s="12">
        <v>7.4</v>
      </c>
      <c r="AW25" s="28">
        <f t="shared" si="13"/>
        <v>53.053079370000013</v>
      </c>
      <c r="AX25" s="12">
        <v>27.5</v>
      </c>
      <c r="AY25" s="28">
        <f t="shared" si="14"/>
        <v>197.15671387500007</v>
      </c>
      <c r="AZ25" s="12">
        <v>3.5</v>
      </c>
      <c r="BA25" s="28">
        <f t="shared" si="15"/>
        <v>25.092672675000006</v>
      </c>
      <c r="BB25" s="12">
        <v>26</v>
      </c>
      <c r="BC25" s="28">
        <f t="shared" si="16"/>
        <v>186.40271130000005</v>
      </c>
      <c r="BD25" s="12">
        <v>35.6</v>
      </c>
      <c r="BE25" s="28">
        <f t="shared" si="17"/>
        <v>255.22832778000009</v>
      </c>
      <c r="BF25" s="12">
        <v>0.16</v>
      </c>
      <c r="BG25" s="28">
        <f t="shared" si="18"/>
        <v>2.7508240000000002</v>
      </c>
      <c r="BH25" s="12">
        <v>0.43</v>
      </c>
      <c r="BI25" s="28">
        <f t="shared" si="19"/>
        <v>7.3928395</v>
      </c>
      <c r="BJ25" s="12">
        <v>2.5</v>
      </c>
      <c r="BK25" s="28">
        <f t="shared" si="20"/>
        <v>42.981625000000001</v>
      </c>
      <c r="BL25" s="12">
        <v>8.3000000000000007</v>
      </c>
      <c r="BM25" s="12"/>
      <c r="BN25" s="28">
        <f t="shared" si="21"/>
        <v>78.769845240000024</v>
      </c>
      <c r="BO25" s="12">
        <v>47.8</v>
      </c>
      <c r="BP25" s="12">
        <v>25.5</v>
      </c>
      <c r="BQ25" s="12">
        <v>13.4</v>
      </c>
      <c r="BR25" s="12">
        <v>33.1</v>
      </c>
      <c r="BS25" s="12">
        <v>12.4</v>
      </c>
      <c r="BT25" s="12">
        <v>9.5</v>
      </c>
      <c r="BU25" s="12">
        <v>23.8</v>
      </c>
      <c r="BV25" s="28">
        <f t="shared" si="22"/>
        <v>2258701.5864000004</v>
      </c>
      <c r="BW25" s="12">
        <v>16.600000000000001</v>
      </c>
      <c r="BX25" s="12">
        <v>17.7</v>
      </c>
      <c r="BY25" s="28">
        <f t="shared" si="23"/>
        <v>399790.18079280003</v>
      </c>
      <c r="BZ25" s="12">
        <v>35.9</v>
      </c>
      <c r="CA25" s="28">
        <f t="shared" si="24"/>
        <v>810873.86951760005</v>
      </c>
      <c r="CB25" s="12">
        <v>17.3</v>
      </c>
      <c r="CC25" s="28">
        <f t="shared" si="25"/>
        <v>390755.3744472001</v>
      </c>
      <c r="CD25" s="12">
        <v>9.6999999999999993</v>
      </c>
      <c r="CE25" s="28">
        <f t="shared" si="26"/>
        <v>219094.0538808</v>
      </c>
      <c r="CF25" s="12">
        <v>2.8</v>
      </c>
      <c r="CG25" s="28">
        <f t="shared" si="27"/>
        <v>63243.644419200013</v>
      </c>
      <c r="CH25" s="12">
        <v>14.5</v>
      </c>
      <c r="CI25" s="28">
        <f t="shared" si="28"/>
        <v>137.60997060000003</v>
      </c>
      <c r="CJ25" s="12">
        <v>7.8</v>
      </c>
      <c r="CK25" s="12">
        <v>40.9</v>
      </c>
      <c r="CL25" s="28">
        <f t="shared" si="29"/>
        <v>562824.77975400002</v>
      </c>
      <c r="CM25" s="12">
        <v>24.1</v>
      </c>
      <c r="CN25" s="28">
        <f t="shared" si="30"/>
        <v>33.164002914600012</v>
      </c>
      <c r="CO25" s="12">
        <v>27.2</v>
      </c>
      <c r="CP25" s="28">
        <f t="shared" si="31"/>
        <v>37.429912003200009</v>
      </c>
      <c r="CQ25" s="12">
        <v>5.2</v>
      </c>
      <c r="CR25" s="28">
        <f t="shared" ref="CR25:CR71" si="34">(CQ25*U25)/100</f>
        <v>107.06800000000001</v>
      </c>
      <c r="CS25" s="12">
        <v>0</v>
      </c>
      <c r="CT25" s="28">
        <f t="shared" ref="CT25:CT71" si="35">(CS25*U25)/100</f>
        <v>0</v>
      </c>
      <c r="CU25" s="27">
        <v>45925</v>
      </c>
      <c r="CV25" s="11">
        <v>0</v>
      </c>
      <c r="CW25" s="11">
        <v>65</v>
      </c>
      <c r="CX25" s="11">
        <v>3</v>
      </c>
      <c r="CY25" s="11">
        <v>2</v>
      </c>
      <c r="CZ25" s="11" t="s">
        <v>283</v>
      </c>
      <c r="DA25" s="11">
        <v>0</v>
      </c>
      <c r="DB25" s="11" t="s">
        <v>398</v>
      </c>
      <c r="DC25" s="11">
        <v>0.11</v>
      </c>
      <c r="DD25" s="11">
        <v>2072</v>
      </c>
      <c r="DE25" s="11">
        <v>503</v>
      </c>
      <c r="DF25" s="11">
        <v>56</v>
      </c>
      <c r="DG25" s="11">
        <v>18694</v>
      </c>
      <c r="DH25" s="11">
        <v>0.111</v>
      </c>
      <c r="DI25" s="11">
        <v>0.24</v>
      </c>
      <c r="DJ25" s="11">
        <v>486</v>
      </c>
      <c r="DK25" s="11">
        <v>15.29</v>
      </c>
      <c r="DL25" s="11" t="s">
        <v>95</v>
      </c>
      <c r="DM25" s="11">
        <v>30</v>
      </c>
      <c r="DN25" s="11">
        <v>1.5</v>
      </c>
      <c r="DO25" s="11">
        <v>0.5</v>
      </c>
      <c r="DP25" s="11">
        <v>0.5</v>
      </c>
      <c r="DQ25" s="11">
        <v>0.5</v>
      </c>
      <c r="DR25" s="11">
        <v>0.5</v>
      </c>
      <c r="DS25" s="11">
        <v>0</v>
      </c>
      <c r="DT25" s="11">
        <v>0</v>
      </c>
      <c r="DU25" s="11">
        <v>0</v>
      </c>
      <c r="DV25" s="11">
        <v>432</v>
      </c>
      <c r="DW25" s="11">
        <v>82</v>
      </c>
      <c r="DX25" s="11">
        <v>0</v>
      </c>
      <c r="DY25" s="11"/>
      <c r="DZ25" s="11"/>
      <c r="EA25" s="11"/>
      <c r="EB25" s="11">
        <v>1</v>
      </c>
      <c r="EC25" s="6">
        <v>0</v>
      </c>
      <c r="ED25" s="6">
        <v>1</v>
      </c>
      <c r="EE25" s="6">
        <v>0</v>
      </c>
      <c r="EF25" s="6">
        <v>0</v>
      </c>
      <c r="EG25" s="6">
        <v>0</v>
      </c>
      <c r="EH25" s="6">
        <v>1</v>
      </c>
      <c r="EI25" s="6">
        <v>0</v>
      </c>
      <c r="EJ25" s="6">
        <v>1</v>
      </c>
      <c r="EK25" s="6">
        <v>1</v>
      </c>
      <c r="EL25" s="6">
        <v>0</v>
      </c>
      <c r="EM25" s="6">
        <v>1</v>
      </c>
      <c r="EN25" s="6">
        <v>1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11"/>
      <c r="EV25" s="4"/>
      <c r="EW25" s="4"/>
      <c r="EX25" s="4"/>
    </row>
    <row r="26" spans="1:154" s="5" customFormat="1" ht="15.75" customHeight="1">
      <c r="A26" s="12">
        <v>40</v>
      </c>
      <c r="B26" s="12">
        <v>7040554</v>
      </c>
      <c r="C26" s="12" t="s">
        <v>112</v>
      </c>
      <c r="D26" s="12" t="s">
        <v>113</v>
      </c>
      <c r="E26" s="12">
        <v>4741492</v>
      </c>
      <c r="F26" s="12">
        <v>1627959</v>
      </c>
      <c r="G26" s="12">
        <v>3.08</v>
      </c>
      <c r="H26" s="12">
        <v>32.6</v>
      </c>
      <c r="I26" s="12">
        <v>11.2</v>
      </c>
      <c r="J26" s="12">
        <v>333</v>
      </c>
      <c r="K26" s="12">
        <v>4.2</v>
      </c>
      <c r="L26" s="12">
        <v>52.93</v>
      </c>
      <c r="M26" s="12">
        <v>0.71</v>
      </c>
      <c r="N26" s="12">
        <v>8.9499999999999993</v>
      </c>
      <c r="O26" s="12">
        <v>0.18</v>
      </c>
      <c r="P26" s="12">
        <v>2.25</v>
      </c>
      <c r="Q26" s="12">
        <v>7.0000000000000007E-2</v>
      </c>
      <c r="R26" s="12">
        <v>0.92</v>
      </c>
      <c r="S26" s="12">
        <v>2.77</v>
      </c>
      <c r="T26" s="12">
        <v>34.950000000000003</v>
      </c>
      <c r="U26" s="12">
        <v>3164</v>
      </c>
      <c r="V26" s="12">
        <v>6.8</v>
      </c>
      <c r="W26" s="28">
        <f t="shared" si="0"/>
        <v>215.15200000000002</v>
      </c>
      <c r="X26" s="12">
        <v>64.900000000000006</v>
      </c>
      <c r="Y26" s="28">
        <f t="shared" si="1"/>
        <v>2053.4360000000001</v>
      </c>
      <c r="Z26" s="12">
        <v>33.9</v>
      </c>
      <c r="AA26" s="28">
        <f t="shared" si="2"/>
        <v>1072.596</v>
      </c>
      <c r="AB26" s="12">
        <v>26.4</v>
      </c>
      <c r="AC26" s="28">
        <f t="shared" si="3"/>
        <v>835.29599999999994</v>
      </c>
      <c r="AD26" s="12">
        <v>7.5</v>
      </c>
      <c r="AE26" s="29">
        <f t="shared" si="4"/>
        <v>237.3</v>
      </c>
      <c r="AF26" s="6"/>
      <c r="AG26" s="26"/>
      <c r="AH26" s="30">
        <v>82</v>
      </c>
      <c r="AI26" s="28">
        <f t="shared" si="6"/>
        <v>2594.48</v>
      </c>
      <c r="AJ26" s="30">
        <v>82.1</v>
      </c>
      <c r="AK26" s="28">
        <f t="shared" si="7"/>
        <v>2130.06808</v>
      </c>
      <c r="AL26" s="12">
        <v>32.299999999999997</v>
      </c>
      <c r="AM26" s="28">
        <f t="shared" si="8"/>
        <v>688.01198983999984</v>
      </c>
      <c r="AN26" s="12">
        <v>64.400000000000006</v>
      </c>
      <c r="AO26" s="28">
        <f t="shared" si="9"/>
        <v>1371.7638435200001</v>
      </c>
      <c r="AP26" s="12">
        <v>2.8</v>
      </c>
      <c r="AQ26" s="28">
        <f t="shared" si="10"/>
        <v>59.641906239999997</v>
      </c>
      <c r="AR26" s="12">
        <v>0.1</v>
      </c>
      <c r="AS26" s="28">
        <f t="shared" si="11"/>
        <v>2.13006808</v>
      </c>
      <c r="AT26" s="12">
        <v>14.8</v>
      </c>
      <c r="AU26" s="28">
        <f t="shared" si="12"/>
        <v>383.98304000000002</v>
      </c>
      <c r="AV26" s="12">
        <v>25.2</v>
      </c>
      <c r="AW26" s="28">
        <f t="shared" si="13"/>
        <v>96.763726079999998</v>
      </c>
      <c r="AX26" s="12">
        <v>51.2</v>
      </c>
      <c r="AY26" s="28">
        <f t="shared" si="14"/>
        <v>196.59931648000003</v>
      </c>
      <c r="AZ26" s="12">
        <v>6.7</v>
      </c>
      <c r="BA26" s="28">
        <f t="shared" si="15"/>
        <v>25.726863680000001</v>
      </c>
      <c r="BB26" s="12">
        <v>3.9</v>
      </c>
      <c r="BC26" s="28">
        <f t="shared" si="16"/>
        <v>14.975338560000001</v>
      </c>
      <c r="BD26" s="12">
        <v>12</v>
      </c>
      <c r="BE26" s="28">
        <f t="shared" si="17"/>
        <v>46.077964799999997</v>
      </c>
      <c r="BF26" s="12">
        <v>0.92</v>
      </c>
      <c r="BG26" s="28">
        <f t="shared" si="18"/>
        <v>23.869216000000002</v>
      </c>
      <c r="BH26" s="12">
        <v>0.65</v>
      </c>
      <c r="BI26" s="28">
        <f t="shared" si="19"/>
        <v>16.86412</v>
      </c>
      <c r="BJ26" s="12">
        <v>1.5</v>
      </c>
      <c r="BK26" s="28">
        <f t="shared" si="20"/>
        <v>38.917200000000001</v>
      </c>
      <c r="BL26" s="12">
        <v>7.9</v>
      </c>
      <c r="BM26" s="12"/>
      <c r="BN26" s="28">
        <f t="shared" si="21"/>
        <v>168.27537832000002</v>
      </c>
      <c r="BO26" s="12">
        <v>44</v>
      </c>
      <c r="BP26" s="12">
        <v>19.100000000000001</v>
      </c>
      <c r="BQ26" s="12">
        <v>14.5</v>
      </c>
      <c r="BR26" s="12">
        <v>25.4</v>
      </c>
      <c r="BS26" s="12">
        <v>15.2</v>
      </c>
      <c r="BT26" s="12">
        <v>12.9</v>
      </c>
      <c r="BU26" s="12">
        <v>31.8</v>
      </c>
      <c r="BV26" s="28">
        <f t="shared" si="22"/>
        <v>6773616.4944000002</v>
      </c>
      <c r="BW26" s="12">
        <v>15.8</v>
      </c>
      <c r="BX26" s="12">
        <v>20.2</v>
      </c>
      <c r="BY26" s="28">
        <f t="shared" si="23"/>
        <v>1368270.5318687998</v>
      </c>
      <c r="BZ26" s="12">
        <v>36.6</v>
      </c>
      <c r="CA26" s="28">
        <f t="shared" si="24"/>
        <v>2479143.6369504002</v>
      </c>
      <c r="CB26" s="12">
        <v>13.8</v>
      </c>
      <c r="CC26" s="28">
        <f t="shared" si="25"/>
        <v>934759.07622719998</v>
      </c>
      <c r="CD26" s="12">
        <v>10.8</v>
      </c>
      <c r="CE26" s="28">
        <f t="shared" si="26"/>
        <v>731550.58139519999</v>
      </c>
      <c r="CF26" s="12">
        <v>2.8</v>
      </c>
      <c r="CG26" s="28">
        <f t="shared" si="27"/>
        <v>189661.26184319999</v>
      </c>
      <c r="CH26" s="12">
        <v>10.199999999999999</v>
      </c>
      <c r="CI26" s="28">
        <f t="shared" si="28"/>
        <v>217.26694415999998</v>
      </c>
      <c r="CJ26" s="12">
        <v>5.8</v>
      </c>
      <c r="CK26" s="12">
        <v>25.5</v>
      </c>
      <c r="CL26" s="28">
        <f t="shared" si="29"/>
        <v>554030.70760799991</v>
      </c>
      <c r="CM26" s="12">
        <v>30.7</v>
      </c>
      <c r="CN26" s="28">
        <f t="shared" si="30"/>
        <v>66.700951857119989</v>
      </c>
      <c r="CO26" s="12">
        <v>38</v>
      </c>
      <c r="CP26" s="28">
        <f t="shared" si="31"/>
        <v>82.561438780800003</v>
      </c>
      <c r="CQ26" s="12">
        <v>8</v>
      </c>
      <c r="CR26" s="28">
        <f t="shared" si="34"/>
        <v>253.12</v>
      </c>
      <c r="CS26" s="12">
        <v>0.27</v>
      </c>
      <c r="CT26" s="28">
        <f t="shared" si="35"/>
        <v>8.5428000000000015</v>
      </c>
      <c r="CU26" s="27">
        <v>45904</v>
      </c>
      <c r="CV26" s="11">
        <v>1</v>
      </c>
      <c r="CW26" s="11">
        <v>65</v>
      </c>
      <c r="CX26" s="11">
        <v>1</v>
      </c>
      <c r="CY26" s="11">
        <v>1</v>
      </c>
      <c r="CZ26" s="11" t="s">
        <v>93</v>
      </c>
      <c r="DA26" s="11">
        <v>1</v>
      </c>
      <c r="DB26" s="11" t="s">
        <v>150</v>
      </c>
      <c r="DC26" s="11">
        <v>0.25</v>
      </c>
      <c r="DD26" s="11">
        <v>682</v>
      </c>
      <c r="DE26" s="11">
        <v>460</v>
      </c>
      <c r="DF26" s="11">
        <v>65</v>
      </c>
      <c r="DG26" s="11">
        <v>11767</v>
      </c>
      <c r="DH26" s="11">
        <v>5.8000000000000003E-2</v>
      </c>
      <c r="DI26" s="11">
        <v>0.67</v>
      </c>
      <c r="DJ26" s="11">
        <v>842</v>
      </c>
      <c r="DK26" s="11">
        <v>12.25</v>
      </c>
      <c r="DL26" s="11" t="s">
        <v>95</v>
      </c>
      <c r="DM26" s="11">
        <v>28</v>
      </c>
      <c r="DN26" s="11">
        <v>1</v>
      </c>
      <c r="DO26" s="11">
        <v>0.5</v>
      </c>
      <c r="DP26" s="11">
        <v>0.5</v>
      </c>
      <c r="DQ26" s="11">
        <v>0</v>
      </c>
      <c r="DR26" s="11">
        <v>0.5</v>
      </c>
      <c r="DS26" s="11">
        <v>0</v>
      </c>
      <c r="DT26" s="11">
        <v>0</v>
      </c>
      <c r="DU26" s="11">
        <v>0</v>
      </c>
      <c r="DV26" s="11">
        <v>344</v>
      </c>
      <c r="DW26" s="11">
        <v>61</v>
      </c>
      <c r="DX26" s="11">
        <v>1</v>
      </c>
      <c r="DY26" s="11"/>
      <c r="DZ26" s="11"/>
      <c r="EA26" s="11"/>
      <c r="EB26" s="11">
        <v>1</v>
      </c>
      <c r="EC26" s="6">
        <v>0</v>
      </c>
      <c r="ED26" s="6">
        <v>1</v>
      </c>
      <c r="EE26" s="6">
        <v>0</v>
      </c>
      <c r="EF26" s="6">
        <v>0</v>
      </c>
      <c r="EG26" s="6">
        <v>0</v>
      </c>
      <c r="EH26" s="6">
        <v>1</v>
      </c>
      <c r="EI26" s="6">
        <v>0</v>
      </c>
      <c r="EJ26" s="6">
        <v>0</v>
      </c>
      <c r="EK26" s="6">
        <v>3</v>
      </c>
      <c r="EL26" s="6">
        <v>0</v>
      </c>
      <c r="EM26" s="6">
        <v>1</v>
      </c>
      <c r="EN26" s="6">
        <v>2</v>
      </c>
      <c r="EO26" s="6">
        <v>0</v>
      </c>
      <c r="EP26" s="6">
        <v>0</v>
      </c>
      <c r="EQ26" s="6">
        <v>1</v>
      </c>
      <c r="ER26" s="6">
        <v>0</v>
      </c>
      <c r="ES26" s="6">
        <v>0</v>
      </c>
      <c r="ET26" s="6">
        <v>0</v>
      </c>
      <c r="EU26" s="11"/>
      <c r="EV26" s="4"/>
      <c r="EW26" s="4"/>
      <c r="EX26" s="4"/>
    </row>
    <row r="27" spans="1:154" s="5" customFormat="1" ht="15.75" customHeight="1">
      <c r="A27" s="12">
        <v>59</v>
      </c>
      <c r="B27" s="12">
        <v>7041626</v>
      </c>
      <c r="C27" s="12" t="s">
        <v>114</v>
      </c>
      <c r="D27" s="12" t="s">
        <v>115</v>
      </c>
      <c r="E27" s="12">
        <v>3753365</v>
      </c>
      <c r="F27" s="12">
        <v>1635457</v>
      </c>
      <c r="G27" s="12">
        <v>4.95</v>
      </c>
      <c r="H27" s="12">
        <v>41.5</v>
      </c>
      <c r="I27" s="12">
        <v>14.4</v>
      </c>
      <c r="J27" s="12">
        <v>316</v>
      </c>
      <c r="K27" s="12">
        <v>3.52</v>
      </c>
      <c r="L27" s="12">
        <v>59.7</v>
      </c>
      <c r="M27" s="12">
        <v>0.49</v>
      </c>
      <c r="N27" s="12">
        <v>8.2899999999999991</v>
      </c>
      <c r="O27" s="12">
        <v>0.17</v>
      </c>
      <c r="P27" s="12">
        <v>2.86</v>
      </c>
      <c r="Q27" s="12">
        <v>0.05</v>
      </c>
      <c r="R27" s="12">
        <v>0.92</v>
      </c>
      <c r="S27" s="12">
        <v>1.66</v>
      </c>
      <c r="T27" s="12">
        <v>28.23</v>
      </c>
      <c r="U27" s="12">
        <v>1522</v>
      </c>
      <c r="V27" s="12">
        <v>10</v>
      </c>
      <c r="W27" s="28">
        <f t="shared" si="0"/>
        <v>152.19999999999999</v>
      </c>
      <c r="X27" s="12">
        <v>63.4</v>
      </c>
      <c r="Y27" s="28">
        <f t="shared" si="1"/>
        <v>964.94799999999998</v>
      </c>
      <c r="Z27" s="12">
        <v>33.799999999999997</v>
      </c>
      <c r="AA27" s="28">
        <f t="shared" si="2"/>
        <v>514.43600000000004</v>
      </c>
      <c r="AB27" s="12">
        <v>20</v>
      </c>
      <c r="AC27" s="28">
        <f t="shared" si="3"/>
        <v>304.39999999999998</v>
      </c>
      <c r="AD27" s="12">
        <v>13.5</v>
      </c>
      <c r="AE27" s="29">
        <f t="shared" si="4"/>
        <v>205.47</v>
      </c>
      <c r="AF27" s="30">
        <v>0.25</v>
      </c>
      <c r="AG27" s="29">
        <f t="shared" si="5"/>
        <v>3.8050000000000002</v>
      </c>
      <c r="AH27" s="30">
        <v>74.7</v>
      </c>
      <c r="AI27" s="28">
        <f t="shared" si="6"/>
        <v>1136.9340000000002</v>
      </c>
      <c r="AJ27" s="30">
        <v>71.8</v>
      </c>
      <c r="AK27" s="28">
        <f t="shared" si="7"/>
        <v>816.31861200000014</v>
      </c>
      <c r="AL27" s="12">
        <v>44</v>
      </c>
      <c r="AM27" s="28">
        <f t="shared" si="8"/>
        <v>359.18018928000004</v>
      </c>
      <c r="AN27" s="12">
        <v>53.5</v>
      </c>
      <c r="AO27" s="28">
        <f t="shared" si="9"/>
        <v>436.73045742000011</v>
      </c>
      <c r="AP27" s="12">
        <v>1.9</v>
      </c>
      <c r="AQ27" s="28">
        <f t="shared" si="10"/>
        <v>15.510053628000003</v>
      </c>
      <c r="AR27" s="12">
        <v>0.51</v>
      </c>
      <c r="AS27" s="28">
        <f t="shared" si="11"/>
        <v>4.1632249212000012</v>
      </c>
      <c r="AT27" s="12">
        <v>24.1</v>
      </c>
      <c r="AU27" s="28">
        <f t="shared" si="12"/>
        <v>274.00109400000002</v>
      </c>
      <c r="AV27" s="12">
        <v>26.8</v>
      </c>
      <c r="AW27" s="28">
        <f t="shared" si="13"/>
        <v>73.432293192000003</v>
      </c>
      <c r="AX27" s="12">
        <v>48.1</v>
      </c>
      <c r="AY27" s="28">
        <f t="shared" si="14"/>
        <v>131.79452621400003</v>
      </c>
      <c r="AZ27" s="12">
        <v>4.5999999999999996</v>
      </c>
      <c r="BA27" s="28">
        <f t="shared" si="15"/>
        <v>12.604050323999999</v>
      </c>
      <c r="BB27" s="12">
        <v>1.5</v>
      </c>
      <c r="BC27" s="28">
        <f t="shared" si="16"/>
        <v>4.110016410000001</v>
      </c>
      <c r="BD27" s="12">
        <v>18.3</v>
      </c>
      <c r="BE27" s="28">
        <f t="shared" si="17"/>
        <v>50.142200202000005</v>
      </c>
      <c r="BF27" s="12">
        <v>0.47</v>
      </c>
      <c r="BG27" s="28">
        <f t="shared" si="18"/>
        <v>5.3435898000000011</v>
      </c>
      <c r="BH27" s="12">
        <v>0.75</v>
      </c>
      <c r="BI27" s="28">
        <f t="shared" si="19"/>
        <v>8.5270050000000008</v>
      </c>
      <c r="BJ27" s="12">
        <v>2.9</v>
      </c>
      <c r="BK27" s="28">
        <f t="shared" si="20"/>
        <v>32.971086000000007</v>
      </c>
      <c r="BL27" s="12">
        <v>6.1</v>
      </c>
      <c r="BM27" s="12"/>
      <c r="BN27" s="28">
        <f t="shared" si="21"/>
        <v>49.795435332000004</v>
      </c>
      <c r="BO27" s="12">
        <v>41.6</v>
      </c>
      <c r="BP27" s="12">
        <v>37.9</v>
      </c>
      <c r="BQ27" s="12">
        <v>12.5</v>
      </c>
      <c r="BR27" s="12">
        <v>20.5</v>
      </c>
      <c r="BS27" s="12">
        <v>7.5</v>
      </c>
      <c r="BT27" s="12">
        <v>15</v>
      </c>
      <c r="BU27" s="12">
        <v>24.3</v>
      </c>
      <c r="BV27" s="28">
        <f t="shared" si="22"/>
        <v>1983654.2271600002</v>
      </c>
      <c r="BW27" s="12">
        <v>41.5</v>
      </c>
      <c r="BX27" s="12">
        <v>13.9</v>
      </c>
      <c r="BY27" s="28">
        <f t="shared" si="23"/>
        <v>275727.93757524004</v>
      </c>
      <c r="BZ27" s="12">
        <v>20.5</v>
      </c>
      <c r="CA27" s="28">
        <f t="shared" si="24"/>
        <v>406649.11656780005</v>
      </c>
      <c r="CB27" s="12">
        <v>17.100000000000001</v>
      </c>
      <c r="CC27" s="28">
        <f t="shared" si="25"/>
        <v>339204.87284436007</v>
      </c>
      <c r="CD27" s="12">
        <v>4.5</v>
      </c>
      <c r="CE27" s="28">
        <f t="shared" si="26"/>
        <v>89264.440222200006</v>
      </c>
      <c r="CF27" s="12">
        <v>2.5</v>
      </c>
      <c r="CG27" s="28">
        <f t="shared" si="27"/>
        <v>49591.355679</v>
      </c>
      <c r="CH27" s="12">
        <v>18.7</v>
      </c>
      <c r="CI27" s="28">
        <f t="shared" si="28"/>
        <v>152.65158044400002</v>
      </c>
      <c r="CJ27" s="12">
        <v>14.3</v>
      </c>
      <c r="CK27" s="12">
        <v>35.799999999999997</v>
      </c>
      <c r="CL27" s="28">
        <f t="shared" si="29"/>
        <v>546492.65798952</v>
      </c>
      <c r="CM27" s="12">
        <v>14</v>
      </c>
      <c r="CN27" s="28">
        <f t="shared" si="30"/>
        <v>21.371221262160002</v>
      </c>
      <c r="CO27" s="12">
        <v>35.9</v>
      </c>
      <c r="CP27" s="28">
        <f t="shared" si="31"/>
        <v>54.801917379396002</v>
      </c>
      <c r="CQ27" s="12">
        <v>9.1</v>
      </c>
      <c r="CR27" s="28">
        <f t="shared" si="34"/>
        <v>138.50199999999998</v>
      </c>
      <c r="CS27" s="12">
        <v>1.6</v>
      </c>
      <c r="CT27" s="28">
        <f t="shared" si="35"/>
        <v>24.352000000000004</v>
      </c>
      <c r="CU27" s="27">
        <v>45960</v>
      </c>
      <c r="CV27" s="11">
        <v>1</v>
      </c>
      <c r="CW27" s="11">
        <v>64</v>
      </c>
      <c r="CX27" s="11">
        <v>2</v>
      </c>
      <c r="CY27" s="11">
        <v>1</v>
      </c>
      <c r="CZ27" s="11" t="s">
        <v>93</v>
      </c>
      <c r="DA27" s="11">
        <v>1</v>
      </c>
      <c r="DB27" s="11" t="s">
        <v>215</v>
      </c>
      <c r="DC27" s="11">
        <v>0.45</v>
      </c>
      <c r="DD27" s="11">
        <v>430</v>
      </c>
      <c r="DE27" s="11">
        <v>285</v>
      </c>
      <c r="DF27" s="11">
        <v>45</v>
      </c>
      <c r="DG27" s="11">
        <v>9801</v>
      </c>
      <c r="DH27" s="11">
        <v>4.3999999999999997E-2</v>
      </c>
      <c r="DI27" s="11">
        <v>0.66</v>
      </c>
      <c r="DJ27" s="11">
        <v>299</v>
      </c>
      <c r="DK27" s="11">
        <v>11.44</v>
      </c>
      <c r="DL27" s="11" t="s">
        <v>95</v>
      </c>
      <c r="DM27" s="11">
        <v>27</v>
      </c>
      <c r="DN27" s="11">
        <v>0</v>
      </c>
      <c r="DO27" s="11">
        <v>0</v>
      </c>
      <c r="DP27" s="11">
        <v>0</v>
      </c>
      <c r="DQ27" s="11">
        <v>0</v>
      </c>
      <c r="DR27" s="11">
        <v>0</v>
      </c>
      <c r="DS27" s="11">
        <v>0</v>
      </c>
      <c r="DT27" s="11">
        <v>0</v>
      </c>
      <c r="DU27" s="11">
        <v>0</v>
      </c>
      <c r="DV27" s="11">
        <v>482</v>
      </c>
      <c r="DW27" s="11">
        <v>94</v>
      </c>
      <c r="DX27" s="11">
        <v>0</v>
      </c>
      <c r="DY27" s="11"/>
      <c r="DZ27" s="11"/>
      <c r="EA27" s="11"/>
      <c r="EB27" s="11">
        <v>1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2</v>
      </c>
      <c r="EL27" s="6">
        <v>0</v>
      </c>
      <c r="EM27" s="6">
        <v>0</v>
      </c>
      <c r="EN27" s="6">
        <v>2</v>
      </c>
      <c r="EO27" s="6">
        <v>0</v>
      </c>
      <c r="EP27" s="6">
        <v>0</v>
      </c>
      <c r="EQ27" s="6">
        <v>1</v>
      </c>
      <c r="ER27" s="6">
        <v>0</v>
      </c>
      <c r="ES27" s="6">
        <v>0</v>
      </c>
      <c r="ET27" s="6">
        <v>0</v>
      </c>
      <c r="EU27" s="11"/>
      <c r="EV27" s="4"/>
      <c r="EW27" s="4"/>
      <c r="EX27" s="4"/>
    </row>
    <row r="28" spans="1:154" s="5" customFormat="1" ht="15.75" customHeight="1">
      <c r="A28" s="12">
        <v>28</v>
      </c>
      <c r="B28" s="12">
        <v>7040090</v>
      </c>
      <c r="C28" s="12" t="s">
        <v>116</v>
      </c>
      <c r="D28" s="12" t="s">
        <v>117</v>
      </c>
      <c r="E28" s="12">
        <v>2424007</v>
      </c>
      <c r="F28" s="12">
        <v>1642311</v>
      </c>
      <c r="G28" s="12">
        <v>4.32</v>
      </c>
      <c r="H28" s="12">
        <v>37.799999999999997</v>
      </c>
      <c r="I28" s="12">
        <v>12.3</v>
      </c>
      <c r="J28" s="12">
        <v>201</v>
      </c>
      <c r="K28" s="12">
        <v>3.35</v>
      </c>
      <c r="L28" s="12">
        <v>54.08</v>
      </c>
      <c r="M28" s="12">
        <v>0.39</v>
      </c>
      <c r="N28" s="12">
        <v>6.35</v>
      </c>
      <c r="O28" s="12">
        <v>0.14000000000000001</v>
      </c>
      <c r="P28" s="12">
        <v>2.2000000000000002</v>
      </c>
      <c r="Q28" s="12">
        <v>0.04</v>
      </c>
      <c r="R28" s="12">
        <v>0.6</v>
      </c>
      <c r="S28" s="12">
        <v>2.2799999999999998</v>
      </c>
      <c r="T28" s="12">
        <v>36.770000000000003</v>
      </c>
      <c r="U28" s="12">
        <v>2590</v>
      </c>
      <c r="V28" s="12">
        <v>16.600000000000001</v>
      </c>
      <c r="W28" s="28">
        <f t="shared" si="0"/>
        <v>429.94000000000005</v>
      </c>
      <c r="X28" s="12">
        <v>78.8</v>
      </c>
      <c r="Y28" s="28">
        <f t="shared" si="1"/>
        <v>2040.92</v>
      </c>
      <c r="Z28" s="12">
        <v>13</v>
      </c>
      <c r="AA28" s="28">
        <f t="shared" si="2"/>
        <v>336.7</v>
      </c>
      <c r="AB28" s="12">
        <v>6.8</v>
      </c>
      <c r="AC28" s="28">
        <f t="shared" si="3"/>
        <v>176.12</v>
      </c>
      <c r="AD28" s="12">
        <v>5.6</v>
      </c>
      <c r="AE28" s="29">
        <f t="shared" si="4"/>
        <v>145.04</v>
      </c>
      <c r="AF28" s="30">
        <v>0.54</v>
      </c>
      <c r="AG28" s="26"/>
      <c r="AH28" s="30">
        <v>68.599999999999994</v>
      </c>
      <c r="AI28" s="28">
        <f t="shared" si="6"/>
        <v>1776.7399999999998</v>
      </c>
      <c r="AJ28" s="30">
        <v>62.7</v>
      </c>
      <c r="AK28" s="28">
        <f t="shared" si="7"/>
        <v>1114.0159799999999</v>
      </c>
      <c r="AL28" s="12">
        <v>42.1</v>
      </c>
      <c r="AM28" s="28">
        <f t="shared" si="8"/>
        <v>469.00072757999993</v>
      </c>
      <c r="AN28" s="12">
        <v>51</v>
      </c>
      <c r="AO28" s="28">
        <f t="shared" si="9"/>
        <v>568.14814979999994</v>
      </c>
      <c r="AP28" s="12">
        <v>5.7</v>
      </c>
      <c r="AQ28" s="28">
        <f t="shared" si="10"/>
        <v>63.498910859999995</v>
      </c>
      <c r="AR28" s="12">
        <v>0.9</v>
      </c>
      <c r="AS28" s="28">
        <f t="shared" si="11"/>
        <v>10.02614382</v>
      </c>
      <c r="AT28" s="12">
        <v>31.8</v>
      </c>
      <c r="AU28" s="28">
        <f t="shared" si="12"/>
        <v>565.00331999999992</v>
      </c>
      <c r="AV28" s="12">
        <v>29</v>
      </c>
      <c r="AW28" s="28">
        <f t="shared" si="13"/>
        <v>163.85096279999999</v>
      </c>
      <c r="AX28" s="12">
        <v>29.2</v>
      </c>
      <c r="AY28" s="28">
        <f t="shared" si="14"/>
        <v>164.98096943999997</v>
      </c>
      <c r="AZ28" s="12">
        <v>12.3</v>
      </c>
      <c r="BA28" s="28">
        <f t="shared" si="15"/>
        <v>69.495408359999999</v>
      </c>
      <c r="BB28" s="12">
        <v>1.7</v>
      </c>
      <c r="BC28" s="28">
        <f t="shared" si="16"/>
        <v>9.6050564399999985</v>
      </c>
      <c r="BD28" s="12">
        <v>27.7</v>
      </c>
      <c r="BE28" s="28">
        <f t="shared" si="17"/>
        <v>156.50591963999997</v>
      </c>
      <c r="BF28" s="12">
        <v>0.4</v>
      </c>
      <c r="BG28" s="28">
        <f t="shared" si="18"/>
        <v>7.1069599999999991</v>
      </c>
      <c r="BH28" s="12">
        <v>0.82</v>
      </c>
      <c r="BI28" s="28">
        <f t="shared" si="19"/>
        <v>14.569267999999997</v>
      </c>
      <c r="BJ28" s="12">
        <v>4.3</v>
      </c>
      <c r="BK28" s="28">
        <f t="shared" si="20"/>
        <v>76.399819999999991</v>
      </c>
      <c r="BL28" s="12">
        <v>9.6</v>
      </c>
      <c r="BM28" s="12"/>
      <c r="BN28" s="28">
        <f t="shared" si="21"/>
        <v>106.94553407999997</v>
      </c>
      <c r="BO28" s="12">
        <v>65.8</v>
      </c>
      <c r="BP28" s="12">
        <v>15.5</v>
      </c>
      <c r="BQ28" s="12">
        <v>18.899999999999999</v>
      </c>
      <c r="BR28" s="12">
        <v>25.1</v>
      </c>
      <c r="BS28" s="12">
        <v>19.399999999999999</v>
      </c>
      <c r="BT28" s="12">
        <v>0</v>
      </c>
      <c r="BU28" s="12">
        <v>30.5</v>
      </c>
      <c r="BV28" s="28">
        <f t="shared" si="22"/>
        <v>3397748.7389999996</v>
      </c>
      <c r="BW28" s="12">
        <v>26.8</v>
      </c>
      <c r="BX28" s="12">
        <v>21.7</v>
      </c>
      <c r="BY28" s="28">
        <f t="shared" si="23"/>
        <v>737311.47636299988</v>
      </c>
      <c r="BZ28" s="12">
        <v>21.9</v>
      </c>
      <c r="CA28" s="28">
        <f t="shared" si="24"/>
        <v>744106.97384099988</v>
      </c>
      <c r="CB28" s="12">
        <v>18.100000000000001</v>
      </c>
      <c r="CC28" s="28">
        <f t="shared" si="25"/>
        <v>614992.52175900002</v>
      </c>
      <c r="CD28" s="12">
        <v>8.4</v>
      </c>
      <c r="CE28" s="28">
        <f t="shared" si="26"/>
        <v>285410.89407599997</v>
      </c>
      <c r="CF28" s="12">
        <v>3.1</v>
      </c>
      <c r="CG28" s="28">
        <f t="shared" si="27"/>
        <v>105330.21090899999</v>
      </c>
      <c r="CH28" s="12">
        <v>16.7</v>
      </c>
      <c r="CI28" s="28">
        <f t="shared" si="28"/>
        <v>186.04066865999997</v>
      </c>
      <c r="CJ28" s="12">
        <v>9.1</v>
      </c>
      <c r="CK28" s="12">
        <v>31.1</v>
      </c>
      <c r="CL28" s="28">
        <f t="shared" si="29"/>
        <v>578586.47953259991</v>
      </c>
      <c r="CM28" s="12">
        <v>22.5</v>
      </c>
      <c r="CN28" s="28">
        <f t="shared" si="30"/>
        <v>41.859150448499996</v>
      </c>
      <c r="CO28" s="12">
        <v>37.299999999999997</v>
      </c>
      <c r="CP28" s="28">
        <f t="shared" si="31"/>
        <v>69.393169410179979</v>
      </c>
      <c r="CQ28" s="12">
        <v>8.5</v>
      </c>
      <c r="CR28" s="28">
        <f t="shared" si="34"/>
        <v>220.15</v>
      </c>
      <c r="CS28" s="12">
        <v>0.27</v>
      </c>
      <c r="CT28" s="28">
        <f t="shared" si="35"/>
        <v>6.9930000000000003</v>
      </c>
      <c r="CU28" s="27">
        <v>45876</v>
      </c>
      <c r="CV28" s="11">
        <v>1</v>
      </c>
      <c r="CW28" s="11">
        <v>60</v>
      </c>
      <c r="CX28" s="11">
        <v>0</v>
      </c>
      <c r="CY28" s="11">
        <v>0</v>
      </c>
      <c r="CZ28" s="11" t="s">
        <v>263</v>
      </c>
      <c r="DA28" s="11">
        <v>0</v>
      </c>
      <c r="DB28" s="11" t="s">
        <v>284</v>
      </c>
      <c r="DC28" s="11">
        <v>0.12</v>
      </c>
      <c r="DD28" s="11">
        <v>1221</v>
      </c>
      <c r="DE28" s="11">
        <v>267</v>
      </c>
      <c r="DF28" s="11">
        <v>41</v>
      </c>
      <c r="DG28" s="11">
        <v>12966</v>
      </c>
      <c r="DH28" s="11">
        <v>9.4E-2</v>
      </c>
      <c r="DI28" s="11">
        <v>0.22</v>
      </c>
      <c r="DJ28" s="11">
        <v>536</v>
      </c>
      <c r="DK28" s="11">
        <v>12.81</v>
      </c>
      <c r="DL28" s="11" t="s">
        <v>95</v>
      </c>
      <c r="DM28" s="11">
        <v>26</v>
      </c>
      <c r="DN28" s="11">
        <v>2</v>
      </c>
      <c r="DO28" s="11">
        <v>0.5</v>
      </c>
      <c r="DP28" s="11">
        <v>0.5</v>
      </c>
      <c r="DQ28" s="11">
        <v>0.5</v>
      </c>
      <c r="DR28" s="11">
        <v>0.5</v>
      </c>
      <c r="DS28" s="11">
        <v>0.5</v>
      </c>
      <c r="DT28" s="11">
        <v>0</v>
      </c>
      <c r="DU28" s="11">
        <v>0</v>
      </c>
      <c r="DV28" s="11">
        <v>386</v>
      </c>
      <c r="DW28" s="11">
        <v>71</v>
      </c>
      <c r="DX28" s="11"/>
      <c r="DY28" s="11"/>
      <c r="DZ28" s="11"/>
      <c r="EA28" s="11"/>
      <c r="EB28" s="11">
        <v>1</v>
      </c>
      <c r="EC28" s="6">
        <v>0</v>
      </c>
      <c r="ED28" s="6">
        <v>1</v>
      </c>
      <c r="EE28" s="6">
        <v>0</v>
      </c>
      <c r="EF28" s="6">
        <v>0</v>
      </c>
      <c r="EG28" s="6">
        <v>0</v>
      </c>
      <c r="EH28" s="6">
        <v>1</v>
      </c>
      <c r="EI28" s="6">
        <v>0</v>
      </c>
      <c r="EJ28" s="6">
        <v>0</v>
      </c>
      <c r="EK28" s="6">
        <v>1</v>
      </c>
      <c r="EL28" s="6">
        <v>1</v>
      </c>
      <c r="EM28" s="6">
        <v>1</v>
      </c>
      <c r="EN28" s="6">
        <v>1</v>
      </c>
      <c r="EO28" s="6">
        <v>0</v>
      </c>
      <c r="EP28" s="6">
        <v>1</v>
      </c>
      <c r="EQ28" s="6">
        <v>1</v>
      </c>
      <c r="ER28" s="6">
        <v>0</v>
      </c>
      <c r="ES28" s="6">
        <v>0</v>
      </c>
      <c r="ET28" s="6">
        <v>0</v>
      </c>
      <c r="EU28" s="11"/>
      <c r="EV28" s="4"/>
      <c r="EW28" s="4"/>
      <c r="EX28" s="4"/>
    </row>
    <row r="29" spans="1:154" s="5" customFormat="1" ht="15.75" customHeight="1">
      <c r="A29" s="12">
        <v>24</v>
      </c>
      <c r="B29" s="12">
        <v>7039871</v>
      </c>
      <c r="C29" s="12" t="s">
        <v>118</v>
      </c>
      <c r="D29" s="12" t="s">
        <v>119</v>
      </c>
      <c r="E29" s="12">
        <v>3314167</v>
      </c>
      <c r="F29" s="12">
        <v>1653282</v>
      </c>
      <c r="G29" s="12">
        <v>3.87</v>
      </c>
      <c r="H29" s="12">
        <v>36.4</v>
      </c>
      <c r="I29" s="12">
        <v>12</v>
      </c>
      <c r="J29" s="12">
        <v>234</v>
      </c>
      <c r="K29" s="12">
        <v>4.17</v>
      </c>
      <c r="L29" s="12">
        <v>49.37</v>
      </c>
      <c r="M29" s="12">
        <v>0.76</v>
      </c>
      <c r="N29" s="12">
        <v>8.9499999999999993</v>
      </c>
      <c r="O29" s="12">
        <v>0.51</v>
      </c>
      <c r="P29" s="12">
        <v>6.09</v>
      </c>
      <c r="Q29" s="12">
        <v>7.0000000000000007E-2</v>
      </c>
      <c r="R29" s="12">
        <v>0.83</v>
      </c>
      <c r="S29" s="12">
        <v>2.94</v>
      </c>
      <c r="T29" s="12">
        <v>34.76</v>
      </c>
      <c r="U29" s="12">
        <v>3198</v>
      </c>
      <c r="V29" s="12">
        <v>6.9</v>
      </c>
      <c r="W29" s="28">
        <f t="shared" si="0"/>
        <v>220.66200000000001</v>
      </c>
      <c r="X29" s="12">
        <v>51.3</v>
      </c>
      <c r="Y29" s="28">
        <f t="shared" si="1"/>
        <v>1640.5739999999998</v>
      </c>
      <c r="Z29" s="12">
        <v>43.9</v>
      </c>
      <c r="AA29" s="28">
        <f t="shared" si="2"/>
        <v>1403.9219999999998</v>
      </c>
      <c r="AB29" s="12">
        <v>27.8</v>
      </c>
      <c r="AC29" s="28">
        <f t="shared" si="3"/>
        <v>889.0440000000001</v>
      </c>
      <c r="AD29" s="12">
        <v>16.2</v>
      </c>
      <c r="AE29" s="29">
        <f t="shared" si="4"/>
        <v>518.07600000000002</v>
      </c>
      <c r="AF29" s="6"/>
      <c r="AG29" s="26"/>
      <c r="AH29" s="30">
        <v>66.400000000000006</v>
      </c>
      <c r="AI29" s="28">
        <f t="shared" si="6"/>
        <v>2123.4720000000002</v>
      </c>
      <c r="AJ29" s="30">
        <v>76.7</v>
      </c>
      <c r="AK29" s="28">
        <f t="shared" si="7"/>
        <v>1628.7030240000001</v>
      </c>
      <c r="AL29" s="12">
        <v>64.2</v>
      </c>
      <c r="AM29" s="28">
        <f t="shared" si="8"/>
        <v>1045.6273414080001</v>
      </c>
      <c r="AN29" s="12">
        <v>24.7</v>
      </c>
      <c r="AO29" s="28">
        <f t="shared" si="9"/>
        <v>402.28964692800002</v>
      </c>
      <c r="AP29" s="12">
        <v>6.2</v>
      </c>
      <c r="AQ29" s="28">
        <f t="shared" si="10"/>
        <v>100.97958748800002</v>
      </c>
      <c r="AR29" s="12">
        <v>3</v>
      </c>
      <c r="AS29" s="28">
        <f t="shared" si="11"/>
        <v>48.86109072</v>
      </c>
      <c r="AT29" s="12">
        <v>18</v>
      </c>
      <c r="AU29" s="28">
        <f t="shared" si="12"/>
        <v>382.22496000000007</v>
      </c>
      <c r="AV29" s="12">
        <v>15.7</v>
      </c>
      <c r="AW29" s="28">
        <f t="shared" si="13"/>
        <v>60.00931872000001</v>
      </c>
      <c r="AX29" s="12">
        <v>31.5</v>
      </c>
      <c r="AY29" s="28">
        <f t="shared" si="14"/>
        <v>120.40086240000002</v>
      </c>
      <c r="AZ29" s="12">
        <v>5.4</v>
      </c>
      <c r="BA29" s="28">
        <f t="shared" si="15"/>
        <v>20.640147840000004</v>
      </c>
      <c r="BB29" s="12">
        <v>2.6</v>
      </c>
      <c r="BC29" s="28">
        <f t="shared" si="16"/>
        <v>9.937848960000002</v>
      </c>
      <c r="BD29" s="12">
        <v>43.7</v>
      </c>
      <c r="BE29" s="28">
        <f t="shared" si="17"/>
        <v>167.03230752000002</v>
      </c>
      <c r="BF29" s="12">
        <v>1.1000000000000001</v>
      </c>
      <c r="BG29" s="28">
        <f t="shared" si="18"/>
        <v>23.358192000000003</v>
      </c>
      <c r="BH29" s="12">
        <v>0.47</v>
      </c>
      <c r="BI29" s="28">
        <f t="shared" si="19"/>
        <v>9.9803183999999998</v>
      </c>
      <c r="BJ29" s="12">
        <v>3.7</v>
      </c>
      <c r="BK29" s="28">
        <f t="shared" si="20"/>
        <v>78.568464000000006</v>
      </c>
      <c r="BL29" s="12">
        <v>7.1</v>
      </c>
      <c r="BM29" s="12"/>
      <c r="BN29" s="28">
        <f t="shared" si="21"/>
        <v>115.637914704</v>
      </c>
      <c r="BO29" s="12">
        <v>31.7</v>
      </c>
      <c r="BP29" s="12">
        <v>25.4</v>
      </c>
      <c r="BQ29" s="12">
        <v>22.9</v>
      </c>
      <c r="BR29" s="12">
        <v>25.4</v>
      </c>
      <c r="BS29" s="12">
        <v>14.4</v>
      </c>
      <c r="BT29" s="12">
        <v>10</v>
      </c>
      <c r="BU29" s="12">
        <v>15.6</v>
      </c>
      <c r="BV29" s="28">
        <f t="shared" si="22"/>
        <v>2540776.7174399998</v>
      </c>
      <c r="BW29" s="12">
        <v>49</v>
      </c>
      <c r="BX29" s="12">
        <v>7.3</v>
      </c>
      <c r="BY29" s="28">
        <f t="shared" si="23"/>
        <v>185476.70037311997</v>
      </c>
      <c r="BZ29" s="12">
        <v>16.100000000000001</v>
      </c>
      <c r="CA29" s="28">
        <f t="shared" si="24"/>
        <v>409065.05150783999</v>
      </c>
      <c r="CB29" s="12">
        <v>16.100000000000001</v>
      </c>
      <c r="CC29" s="28">
        <f t="shared" si="25"/>
        <v>409065.05150783999</v>
      </c>
      <c r="CD29" s="12">
        <v>6.7</v>
      </c>
      <c r="CE29" s="28">
        <f t="shared" si="26"/>
        <v>170232.04006848001</v>
      </c>
      <c r="CF29" s="12">
        <v>4.8</v>
      </c>
      <c r="CG29" s="28">
        <f t="shared" si="27"/>
        <v>121957.28243711998</v>
      </c>
      <c r="CH29" s="12">
        <v>3.7</v>
      </c>
      <c r="CI29" s="28">
        <f t="shared" si="28"/>
        <v>60.262011888000004</v>
      </c>
      <c r="CJ29" s="12">
        <v>5</v>
      </c>
      <c r="CK29" s="12">
        <v>38.6</v>
      </c>
      <c r="CL29" s="28">
        <f t="shared" si="29"/>
        <v>232611.36588768003</v>
      </c>
      <c r="CM29" s="12">
        <v>25.4</v>
      </c>
      <c r="CN29" s="28">
        <f t="shared" si="30"/>
        <v>15.306551019552</v>
      </c>
      <c r="CO29" s="12">
        <v>31</v>
      </c>
      <c r="CP29" s="28">
        <f t="shared" si="31"/>
        <v>18.681223685280003</v>
      </c>
      <c r="CQ29" s="12">
        <v>22.3</v>
      </c>
      <c r="CR29" s="28">
        <f t="shared" si="34"/>
        <v>713.15400000000011</v>
      </c>
      <c r="CS29" s="12">
        <v>0</v>
      </c>
      <c r="CT29" s="28">
        <f t="shared" si="35"/>
        <v>0</v>
      </c>
      <c r="CU29" s="27">
        <v>45862</v>
      </c>
      <c r="CV29" s="11">
        <v>1</v>
      </c>
      <c r="CW29" s="11">
        <v>68</v>
      </c>
      <c r="CX29" s="11">
        <v>0</v>
      </c>
      <c r="CY29" s="11">
        <v>0</v>
      </c>
      <c r="CZ29" s="11" t="s">
        <v>263</v>
      </c>
      <c r="DA29" s="11">
        <v>0</v>
      </c>
      <c r="DB29" s="11" t="s">
        <v>285</v>
      </c>
      <c r="DC29" s="11">
        <v>0.17</v>
      </c>
      <c r="DD29" s="11">
        <v>1725</v>
      </c>
      <c r="DE29" s="11">
        <v>344</v>
      </c>
      <c r="DF29" s="11">
        <v>44</v>
      </c>
      <c r="DG29" s="11">
        <v>15641</v>
      </c>
      <c r="DH29" s="11">
        <v>0.11</v>
      </c>
      <c r="DI29" s="11">
        <v>0.2</v>
      </c>
      <c r="DJ29" s="11">
        <v>472</v>
      </c>
      <c r="DK29" s="11">
        <v>23.19</v>
      </c>
      <c r="DL29" s="11" t="s">
        <v>95</v>
      </c>
      <c r="DM29" s="11">
        <v>27</v>
      </c>
      <c r="DN29" s="11">
        <v>1</v>
      </c>
      <c r="DO29" s="11">
        <v>0.5</v>
      </c>
      <c r="DP29" s="11">
        <v>0.5</v>
      </c>
      <c r="DQ29" s="11">
        <v>0</v>
      </c>
      <c r="DR29" s="11">
        <v>0.5</v>
      </c>
      <c r="DS29" s="11">
        <v>0</v>
      </c>
      <c r="DT29" s="11">
        <v>0</v>
      </c>
      <c r="DU29" s="11">
        <v>0</v>
      </c>
      <c r="DV29" s="11">
        <v>402</v>
      </c>
      <c r="DW29" s="11">
        <v>75</v>
      </c>
      <c r="DX29" s="11">
        <v>2</v>
      </c>
      <c r="DY29" s="11"/>
      <c r="DZ29" s="11"/>
      <c r="EA29" s="11"/>
      <c r="EB29" s="11">
        <v>1</v>
      </c>
      <c r="EC29" s="6">
        <v>0</v>
      </c>
      <c r="ED29" s="6">
        <v>1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1</v>
      </c>
      <c r="EN29" s="6">
        <v>1</v>
      </c>
      <c r="EO29" s="6">
        <v>0</v>
      </c>
      <c r="EP29" s="6">
        <v>1</v>
      </c>
      <c r="EQ29" s="6">
        <v>1</v>
      </c>
      <c r="ER29" s="6">
        <v>1</v>
      </c>
      <c r="ES29" s="6">
        <v>0</v>
      </c>
      <c r="ET29" s="6">
        <v>1</v>
      </c>
      <c r="EU29" s="11"/>
      <c r="EV29" s="4"/>
      <c r="EW29" s="4"/>
      <c r="EX29" s="4"/>
    </row>
    <row r="30" spans="1:154" s="5" customFormat="1" ht="15.75" customHeight="1">
      <c r="A30" s="12">
        <v>26</v>
      </c>
      <c r="B30" s="12">
        <v>7039934</v>
      </c>
      <c r="C30" s="12" t="s">
        <v>120</v>
      </c>
      <c r="D30" s="12" t="s">
        <v>121</v>
      </c>
      <c r="E30" s="12">
        <v>5354142</v>
      </c>
      <c r="F30" s="12">
        <v>1689963</v>
      </c>
      <c r="G30" s="12">
        <v>3.76</v>
      </c>
      <c r="H30" s="12">
        <v>33.700000000000003</v>
      </c>
      <c r="I30" s="12">
        <v>11.5</v>
      </c>
      <c r="J30" s="12">
        <v>296</v>
      </c>
      <c r="K30" s="12">
        <v>5.52</v>
      </c>
      <c r="L30" s="12">
        <v>73.95</v>
      </c>
      <c r="M30" s="12">
        <v>0.64</v>
      </c>
      <c r="N30" s="12">
        <v>8.6199999999999992</v>
      </c>
      <c r="O30" s="12">
        <v>0.09</v>
      </c>
      <c r="P30" s="12">
        <v>1.1599999999999999</v>
      </c>
      <c r="Q30" s="12">
        <v>0.05</v>
      </c>
      <c r="R30" s="12">
        <v>0.7</v>
      </c>
      <c r="S30" s="12">
        <v>1.1599999999999999</v>
      </c>
      <c r="T30" s="12">
        <v>15.57</v>
      </c>
      <c r="U30" s="12">
        <v>1408</v>
      </c>
      <c r="V30" s="12">
        <v>12.3</v>
      </c>
      <c r="W30" s="28">
        <f t="shared" si="0"/>
        <v>173.18400000000003</v>
      </c>
      <c r="X30" s="12">
        <v>78.2</v>
      </c>
      <c r="Y30" s="28">
        <f t="shared" si="1"/>
        <v>1101.056</v>
      </c>
      <c r="Z30" s="12">
        <v>17.8</v>
      </c>
      <c r="AA30" s="28">
        <f t="shared" si="2"/>
        <v>250.62400000000002</v>
      </c>
      <c r="AB30" s="12">
        <v>6.9</v>
      </c>
      <c r="AC30" s="28">
        <f t="shared" si="3"/>
        <v>97.152000000000001</v>
      </c>
      <c r="AD30" s="12">
        <v>10.8</v>
      </c>
      <c r="AE30" s="29">
        <f t="shared" si="4"/>
        <v>152.06400000000002</v>
      </c>
      <c r="AF30" s="6"/>
      <c r="AG30" s="26"/>
      <c r="AH30" s="30">
        <v>68.2</v>
      </c>
      <c r="AI30" s="28">
        <f t="shared" si="6"/>
        <v>960.25600000000009</v>
      </c>
      <c r="AJ30" s="30">
        <v>50.6</v>
      </c>
      <c r="AK30" s="28">
        <f t="shared" si="7"/>
        <v>485.88953600000008</v>
      </c>
      <c r="AL30" s="12">
        <v>34.299999999999997</v>
      </c>
      <c r="AM30" s="28">
        <f t="shared" si="8"/>
        <v>166.66011084800002</v>
      </c>
      <c r="AN30" s="12">
        <v>44.5</v>
      </c>
      <c r="AO30" s="28">
        <f t="shared" si="9"/>
        <v>216.22084352000002</v>
      </c>
      <c r="AP30" s="12">
        <v>17.5</v>
      </c>
      <c r="AQ30" s="28">
        <f t="shared" si="10"/>
        <v>85.030668800000015</v>
      </c>
      <c r="AR30" s="12">
        <v>3.4</v>
      </c>
      <c r="AS30" s="28">
        <f t="shared" si="11"/>
        <v>16.520244224000002</v>
      </c>
      <c r="AT30" s="12">
        <v>47.7</v>
      </c>
      <c r="AU30" s="28">
        <f t="shared" si="12"/>
        <v>458.04211200000003</v>
      </c>
      <c r="AV30" s="12">
        <v>9.6999999999999993</v>
      </c>
      <c r="AW30" s="28">
        <f t="shared" si="13"/>
        <v>44.430084864000001</v>
      </c>
      <c r="AX30" s="12">
        <v>34.700000000000003</v>
      </c>
      <c r="AY30" s="28">
        <f t="shared" si="14"/>
        <v>158.94061286400003</v>
      </c>
      <c r="AZ30" s="12">
        <v>4.8</v>
      </c>
      <c r="BA30" s="28">
        <f t="shared" si="15"/>
        <v>21.986021376</v>
      </c>
      <c r="BB30" s="12">
        <v>17.5</v>
      </c>
      <c r="BC30" s="28">
        <f t="shared" si="16"/>
        <v>80.157369599999996</v>
      </c>
      <c r="BD30" s="12">
        <v>33.200000000000003</v>
      </c>
      <c r="BE30" s="28">
        <f t="shared" si="17"/>
        <v>152.06998118400003</v>
      </c>
      <c r="BF30" s="12">
        <v>0.25</v>
      </c>
      <c r="BG30" s="28">
        <f t="shared" si="18"/>
        <v>2.4006400000000001</v>
      </c>
      <c r="BH30" s="12">
        <v>0.46</v>
      </c>
      <c r="BI30" s="28">
        <f t="shared" si="19"/>
        <v>4.4171776000000005</v>
      </c>
      <c r="BJ30" s="12">
        <v>0.99</v>
      </c>
      <c r="BK30" s="28">
        <f t="shared" si="20"/>
        <v>9.5065343999999996</v>
      </c>
      <c r="BL30" s="12">
        <v>9.3000000000000007</v>
      </c>
      <c r="BM30" s="12"/>
      <c r="BN30" s="28">
        <f t="shared" si="21"/>
        <v>45.187726848000011</v>
      </c>
      <c r="BO30" s="12">
        <v>59.4</v>
      </c>
      <c r="BP30" s="12">
        <v>18</v>
      </c>
      <c r="BQ30" s="12">
        <v>20.6</v>
      </c>
      <c r="BR30" s="12">
        <v>27.2</v>
      </c>
      <c r="BS30" s="12">
        <v>15</v>
      </c>
      <c r="BT30" s="12">
        <v>13.6</v>
      </c>
      <c r="BU30" s="12">
        <v>33.799999999999997</v>
      </c>
      <c r="BV30" s="28">
        <f t="shared" si="22"/>
        <v>1642306.6316800003</v>
      </c>
      <c r="BW30" s="12">
        <v>35.700000000000003</v>
      </c>
      <c r="BX30" s="12">
        <v>6.1</v>
      </c>
      <c r="BY30" s="28">
        <f t="shared" si="23"/>
        <v>100180.70453248001</v>
      </c>
      <c r="BZ30" s="12">
        <v>30</v>
      </c>
      <c r="CA30" s="28">
        <f t="shared" si="24"/>
        <v>492691.98950400011</v>
      </c>
      <c r="CB30" s="12">
        <v>18.8</v>
      </c>
      <c r="CC30" s="28">
        <f t="shared" si="25"/>
        <v>308753.64675584005</v>
      </c>
      <c r="CD30" s="12">
        <v>6.2</v>
      </c>
      <c r="CE30" s="28">
        <f t="shared" si="26"/>
        <v>101823.01116416002</v>
      </c>
      <c r="CF30" s="12">
        <v>3.2</v>
      </c>
      <c r="CG30" s="28">
        <f t="shared" si="27"/>
        <v>52553.812213760015</v>
      </c>
      <c r="CH30" s="12">
        <v>11.5</v>
      </c>
      <c r="CI30" s="28">
        <f t="shared" si="28"/>
        <v>55.877296640000012</v>
      </c>
      <c r="CJ30" s="12">
        <v>12.9</v>
      </c>
      <c r="CK30" s="12">
        <v>32.1</v>
      </c>
      <c r="CL30" s="28">
        <f t="shared" si="29"/>
        <v>179366.12221440003</v>
      </c>
      <c r="CM30" s="12">
        <v>18.399999999999999</v>
      </c>
      <c r="CN30" s="28">
        <f t="shared" si="30"/>
        <v>10.281422581760001</v>
      </c>
      <c r="CO30" s="12">
        <v>36.6</v>
      </c>
      <c r="CP30" s="28">
        <f t="shared" si="31"/>
        <v>20.451090570240005</v>
      </c>
      <c r="CQ30" s="12">
        <v>12.8</v>
      </c>
      <c r="CR30" s="28">
        <f t="shared" si="34"/>
        <v>180.22400000000002</v>
      </c>
      <c r="CS30" s="12">
        <v>0</v>
      </c>
      <c r="CT30" s="28">
        <f t="shared" si="35"/>
        <v>0</v>
      </c>
      <c r="CU30" s="27">
        <v>45869</v>
      </c>
      <c r="CV30" s="11">
        <v>0</v>
      </c>
      <c r="CW30" s="11">
        <v>74</v>
      </c>
      <c r="CX30" s="11">
        <v>2</v>
      </c>
      <c r="CY30" s="11">
        <v>1</v>
      </c>
      <c r="CZ30" s="11" t="s">
        <v>93</v>
      </c>
      <c r="DA30" s="11">
        <v>1</v>
      </c>
      <c r="DB30" s="11" t="s">
        <v>94</v>
      </c>
      <c r="DC30" s="11">
        <v>0.24</v>
      </c>
      <c r="DD30" s="11">
        <v>441</v>
      </c>
      <c r="DE30" s="11">
        <v>101</v>
      </c>
      <c r="DF30" s="11">
        <v>15</v>
      </c>
      <c r="DG30" s="11">
        <v>6960</v>
      </c>
      <c r="DH30" s="11">
        <v>6.3E-2</v>
      </c>
      <c r="DI30" s="11">
        <v>0.23</v>
      </c>
      <c r="DJ30" s="11">
        <v>188</v>
      </c>
      <c r="DK30" s="11">
        <v>14.94</v>
      </c>
      <c r="DL30" s="11" t="s">
        <v>95</v>
      </c>
      <c r="DM30" s="11">
        <v>30</v>
      </c>
      <c r="DN30" s="11">
        <v>2</v>
      </c>
      <c r="DO30" s="11">
        <v>0.5</v>
      </c>
      <c r="DP30" s="11">
        <v>0.5</v>
      </c>
      <c r="DQ30" s="11">
        <v>0.5</v>
      </c>
      <c r="DR30" s="11">
        <v>0</v>
      </c>
      <c r="DS30" s="11">
        <v>0.5</v>
      </c>
      <c r="DT30" s="11">
        <v>0.5</v>
      </c>
      <c r="DU30" s="11">
        <v>0</v>
      </c>
      <c r="DV30" s="11">
        <v>464</v>
      </c>
      <c r="DW30" s="11">
        <v>89</v>
      </c>
      <c r="DX30" s="11"/>
      <c r="DY30" s="11"/>
      <c r="DZ30" s="11"/>
      <c r="EA30" s="11"/>
      <c r="EB30" s="11">
        <v>1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1</v>
      </c>
      <c r="EL30" s="6">
        <v>1</v>
      </c>
      <c r="EM30" s="6">
        <v>1</v>
      </c>
      <c r="EN30" s="6">
        <v>1</v>
      </c>
      <c r="EO30" s="6">
        <v>0</v>
      </c>
      <c r="EP30" s="6">
        <v>0</v>
      </c>
      <c r="EQ30" s="6">
        <v>1</v>
      </c>
      <c r="ER30" s="6">
        <v>0</v>
      </c>
      <c r="ES30" s="6">
        <v>0</v>
      </c>
      <c r="ET30" s="6">
        <v>0</v>
      </c>
      <c r="EU30" s="9" t="s">
        <v>286</v>
      </c>
      <c r="EV30" s="4"/>
      <c r="EW30" s="4"/>
      <c r="EX30" s="4"/>
    </row>
    <row r="31" spans="1:154" s="5" customFormat="1" ht="15.75" customHeight="1">
      <c r="A31" s="12">
        <v>19</v>
      </c>
      <c r="B31" s="12">
        <v>7039663</v>
      </c>
      <c r="C31" s="12" t="s">
        <v>56</v>
      </c>
      <c r="D31" s="12" t="s">
        <v>122</v>
      </c>
      <c r="E31" s="12">
        <v>2599353</v>
      </c>
      <c r="F31" s="12">
        <v>1692695</v>
      </c>
      <c r="G31" s="12">
        <v>4.49</v>
      </c>
      <c r="H31" s="12">
        <v>38.299999999999997</v>
      </c>
      <c r="I31" s="12">
        <v>13.1</v>
      </c>
      <c r="J31" s="12">
        <v>202</v>
      </c>
      <c r="K31" s="12">
        <v>3.03</v>
      </c>
      <c r="L31" s="12">
        <v>54.3</v>
      </c>
      <c r="M31" s="12">
        <v>0.43</v>
      </c>
      <c r="N31" s="12">
        <v>7.63</v>
      </c>
      <c r="O31" s="12">
        <v>0.1</v>
      </c>
      <c r="P31" s="12">
        <v>1.74</v>
      </c>
      <c r="Q31" s="12">
        <v>0.02</v>
      </c>
      <c r="R31" s="12">
        <v>0.33</v>
      </c>
      <c r="S31" s="12">
        <v>2.0099999999999998</v>
      </c>
      <c r="T31" s="12">
        <v>36</v>
      </c>
      <c r="U31" s="12">
        <v>2308</v>
      </c>
      <c r="V31" s="12">
        <v>8.9</v>
      </c>
      <c r="W31" s="28">
        <f t="shared" si="0"/>
        <v>205.41200000000001</v>
      </c>
      <c r="X31" s="12">
        <v>20</v>
      </c>
      <c r="Y31" s="28">
        <f t="shared" si="1"/>
        <v>461.6</v>
      </c>
      <c r="Z31" s="12">
        <v>78.599999999999994</v>
      </c>
      <c r="AA31" s="28">
        <f t="shared" si="2"/>
        <v>1814.088</v>
      </c>
      <c r="AB31" s="12">
        <v>48.7</v>
      </c>
      <c r="AC31" s="28">
        <f t="shared" si="3"/>
        <v>1123.9960000000001</v>
      </c>
      <c r="AD31" s="12">
        <v>29.9</v>
      </c>
      <c r="AE31" s="29">
        <f t="shared" si="4"/>
        <v>690.09199999999998</v>
      </c>
      <c r="AF31" s="6"/>
      <c r="AG31" s="26"/>
      <c r="AH31" s="30">
        <v>78.5</v>
      </c>
      <c r="AI31" s="28">
        <f t="shared" si="6"/>
        <v>1811.78</v>
      </c>
      <c r="AJ31" s="30">
        <v>44.6</v>
      </c>
      <c r="AK31" s="28">
        <f t="shared" si="7"/>
        <v>808.05388000000005</v>
      </c>
      <c r="AL31" s="12">
        <v>40.299999999999997</v>
      </c>
      <c r="AM31" s="28">
        <f t="shared" si="8"/>
        <v>325.64571364</v>
      </c>
      <c r="AN31" s="12">
        <v>47.8</v>
      </c>
      <c r="AO31" s="28">
        <f t="shared" si="9"/>
        <v>386.24975464000005</v>
      </c>
      <c r="AP31" s="12">
        <v>11.6</v>
      </c>
      <c r="AQ31" s="28">
        <f t="shared" si="10"/>
        <v>93.734250079999995</v>
      </c>
      <c r="AR31" s="12">
        <v>0.12</v>
      </c>
      <c r="AS31" s="28">
        <f t="shared" si="11"/>
        <v>0.96966465600000007</v>
      </c>
      <c r="AT31" s="12">
        <v>48.5</v>
      </c>
      <c r="AU31" s="28">
        <f t="shared" si="12"/>
        <v>878.7133</v>
      </c>
      <c r="AV31" s="12">
        <v>13</v>
      </c>
      <c r="AW31" s="28">
        <f t="shared" si="13"/>
        <v>114.23272900000001</v>
      </c>
      <c r="AX31" s="12">
        <v>33</v>
      </c>
      <c r="AY31" s="28">
        <f t="shared" si="14"/>
        <v>289.97538900000001</v>
      </c>
      <c r="AZ31" s="12">
        <v>2.2000000000000002</v>
      </c>
      <c r="BA31" s="28">
        <f t="shared" si="15"/>
        <v>19.3316926</v>
      </c>
      <c r="BB31" s="12">
        <v>35.9</v>
      </c>
      <c r="BC31" s="28">
        <f t="shared" si="16"/>
        <v>315.4580747</v>
      </c>
      <c r="BD31" s="12">
        <v>15.8</v>
      </c>
      <c r="BE31" s="28">
        <f t="shared" si="17"/>
        <v>138.83670140000001</v>
      </c>
      <c r="BF31" s="12">
        <v>0.3</v>
      </c>
      <c r="BG31" s="28">
        <f t="shared" si="18"/>
        <v>5.4353400000000001</v>
      </c>
      <c r="BH31" s="12">
        <v>0.62</v>
      </c>
      <c r="BI31" s="28">
        <f t="shared" si="19"/>
        <v>11.233036</v>
      </c>
      <c r="BJ31" s="12">
        <v>6</v>
      </c>
      <c r="BK31" s="28">
        <f t="shared" si="20"/>
        <v>108.7068</v>
      </c>
      <c r="BL31" s="12">
        <v>6.5</v>
      </c>
      <c r="BM31" s="12"/>
      <c r="BN31" s="28">
        <f t="shared" si="21"/>
        <v>52.523502200000003</v>
      </c>
      <c r="BO31" s="12">
        <v>58.6</v>
      </c>
      <c r="BP31" s="12">
        <v>24</v>
      </c>
      <c r="BQ31" s="12">
        <v>15.9</v>
      </c>
      <c r="BR31" s="12">
        <v>28</v>
      </c>
      <c r="BS31" s="12">
        <v>9.1999999999999993</v>
      </c>
      <c r="BT31" s="12">
        <v>12.2</v>
      </c>
      <c r="BU31" s="12">
        <v>42.6</v>
      </c>
      <c r="BV31" s="28">
        <f t="shared" si="22"/>
        <v>3442309.5288000004</v>
      </c>
      <c r="BW31" s="12">
        <v>30.9</v>
      </c>
      <c r="BX31" s="12">
        <v>25.6</v>
      </c>
      <c r="BY31" s="28">
        <f t="shared" si="23"/>
        <v>881231.2393728001</v>
      </c>
      <c r="BZ31" s="12">
        <v>24</v>
      </c>
      <c r="CA31" s="28">
        <f t="shared" si="24"/>
        <v>826154.28691200016</v>
      </c>
      <c r="CB31" s="12">
        <v>7.9</v>
      </c>
      <c r="CC31" s="28">
        <f t="shared" si="25"/>
        <v>271942.45277520007</v>
      </c>
      <c r="CD31" s="12">
        <v>8.9</v>
      </c>
      <c r="CE31" s="28">
        <f t="shared" si="26"/>
        <v>306365.54806320003</v>
      </c>
      <c r="CF31" s="12">
        <v>2.7</v>
      </c>
      <c r="CG31" s="28">
        <f t="shared" si="27"/>
        <v>92942.357277600022</v>
      </c>
      <c r="CH31" s="12">
        <v>10.9</v>
      </c>
      <c r="CI31" s="28">
        <f t="shared" si="28"/>
        <v>88.077872920000004</v>
      </c>
      <c r="CJ31" s="12">
        <v>100</v>
      </c>
      <c r="CK31" s="12">
        <v>0</v>
      </c>
      <c r="CL31" s="28">
        <f t="shared" si="29"/>
        <v>0</v>
      </c>
      <c r="CM31" s="12">
        <v>0</v>
      </c>
      <c r="CN31" s="28">
        <f t="shared" si="30"/>
        <v>0</v>
      </c>
      <c r="CO31" s="12">
        <v>0</v>
      </c>
      <c r="CP31" s="28">
        <f t="shared" si="31"/>
        <v>0</v>
      </c>
      <c r="CQ31" s="12">
        <v>8.6999999999999993</v>
      </c>
      <c r="CR31" s="28">
        <f t="shared" si="34"/>
        <v>200.79599999999999</v>
      </c>
      <c r="CS31" s="12">
        <v>0</v>
      </c>
      <c r="CT31" s="28">
        <f t="shared" si="35"/>
        <v>0</v>
      </c>
      <c r="CU31" s="27">
        <v>45848</v>
      </c>
      <c r="CV31" s="11">
        <v>1</v>
      </c>
      <c r="CW31" s="11">
        <v>60</v>
      </c>
      <c r="CX31" s="11">
        <v>3</v>
      </c>
      <c r="CY31" s="11">
        <v>2</v>
      </c>
      <c r="CZ31" s="11" t="s">
        <v>283</v>
      </c>
      <c r="DA31" s="11">
        <v>0</v>
      </c>
      <c r="DB31" s="11" t="s">
        <v>152</v>
      </c>
      <c r="DC31" s="11">
        <v>0.11</v>
      </c>
      <c r="DD31" s="11">
        <v>494</v>
      </c>
      <c r="DE31" s="11">
        <v>116</v>
      </c>
      <c r="DF31" s="11">
        <v>16</v>
      </c>
      <c r="DG31" s="11">
        <v>6227</v>
      </c>
      <c r="DH31" s="11">
        <v>7.9000000000000001E-2</v>
      </c>
      <c r="DI31" s="11">
        <v>0.23</v>
      </c>
      <c r="DJ31" s="11">
        <v>456</v>
      </c>
      <c r="DK31" s="11">
        <v>15.26</v>
      </c>
      <c r="DL31" s="11" t="s">
        <v>96</v>
      </c>
      <c r="DM31" s="11">
        <v>29</v>
      </c>
      <c r="DN31" s="11">
        <v>0.5</v>
      </c>
      <c r="DO31" s="11">
        <v>0.5</v>
      </c>
      <c r="DP31" s="11">
        <v>0.5</v>
      </c>
      <c r="DQ31" s="11">
        <v>0</v>
      </c>
      <c r="DR31" s="11">
        <v>0</v>
      </c>
      <c r="DS31" s="11">
        <v>0</v>
      </c>
      <c r="DT31" s="11">
        <v>0</v>
      </c>
      <c r="DU31" s="11">
        <v>0</v>
      </c>
      <c r="DV31" s="11">
        <v>469</v>
      </c>
      <c r="DW31" s="11">
        <v>91</v>
      </c>
      <c r="DX31" s="11">
        <v>3</v>
      </c>
      <c r="DY31" s="11"/>
      <c r="DZ31" s="11"/>
      <c r="EA31" s="11"/>
      <c r="EB31" s="11">
        <v>1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3</v>
      </c>
      <c r="EL31" s="6">
        <v>1</v>
      </c>
      <c r="EM31" s="6">
        <v>1</v>
      </c>
      <c r="EN31" s="6">
        <v>3</v>
      </c>
      <c r="EO31" s="6">
        <v>0</v>
      </c>
      <c r="EP31" s="6">
        <v>0</v>
      </c>
      <c r="EQ31" s="6">
        <v>1</v>
      </c>
      <c r="ER31" s="6">
        <v>0</v>
      </c>
      <c r="ES31" s="6">
        <v>0</v>
      </c>
      <c r="ET31" s="6">
        <v>0</v>
      </c>
      <c r="EU31" s="11"/>
      <c r="EV31" s="4"/>
      <c r="EW31" s="4"/>
      <c r="EX31" s="4"/>
    </row>
    <row r="32" spans="1:154" s="5" customFormat="1" ht="15.75" customHeight="1">
      <c r="A32" s="12">
        <v>76</v>
      </c>
      <c r="B32" s="12">
        <v>7042472</v>
      </c>
      <c r="C32" s="12" t="s">
        <v>123</v>
      </c>
      <c r="D32" s="12" t="s">
        <v>124</v>
      </c>
      <c r="E32" s="12">
        <v>2902587</v>
      </c>
      <c r="F32" s="12">
        <v>1725122</v>
      </c>
      <c r="G32" s="12">
        <v>4.3499999999999996</v>
      </c>
      <c r="H32" s="12">
        <v>38.700000000000003</v>
      </c>
      <c r="I32" s="12">
        <v>13.2</v>
      </c>
      <c r="J32" s="12">
        <v>140</v>
      </c>
      <c r="K32" s="12">
        <v>2.85</v>
      </c>
      <c r="L32" s="12">
        <v>56.39</v>
      </c>
      <c r="M32" s="12">
        <v>0.47</v>
      </c>
      <c r="N32" s="12">
        <v>9.33</v>
      </c>
      <c r="O32" s="12">
        <v>0.1</v>
      </c>
      <c r="P32" s="12">
        <v>2.0299999999999998</v>
      </c>
      <c r="Q32" s="12">
        <v>0.05</v>
      </c>
      <c r="R32" s="12">
        <v>0.91</v>
      </c>
      <c r="S32" s="12">
        <v>1.59</v>
      </c>
      <c r="T32" s="12">
        <v>31.34</v>
      </c>
      <c r="U32" s="12">
        <v>1998</v>
      </c>
      <c r="V32" s="12">
        <v>11.5</v>
      </c>
      <c r="W32" s="28">
        <f t="shared" si="0"/>
        <v>229.77</v>
      </c>
      <c r="X32" s="12">
        <v>84.6</v>
      </c>
      <c r="Y32" s="28">
        <f t="shared" si="1"/>
        <v>1690.308</v>
      </c>
      <c r="Z32" s="12">
        <v>15.4</v>
      </c>
      <c r="AA32" s="28">
        <f t="shared" si="2"/>
        <v>307.69200000000001</v>
      </c>
      <c r="AB32" s="12">
        <v>9.6</v>
      </c>
      <c r="AC32" s="28">
        <f t="shared" si="3"/>
        <v>191.80799999999999</v>
      </c>
      <c r="AD32" s="12">
        <v>5.8</v>
      </c>
      <c r="AE32" s="29">
        <f t="shared" si="4"/>
        <v>115.884</v>
      </c>
      <c r="AF32" s="30">
        <v>3.5000000000000003E-2</v>
      </c>
      <c r="AG32" s="29">
        <f t="shared" si="5"/>
        <v>0.69930000000000003</v>
      </c>
      <c r="AH32" s="30">
        <v>63.3</v>
      </c>
      <c r="AI32" s="28">
        <f t="shared" si="6"/>
        <v>1264.7339999999999</v>
      </c>
      <c r="AJ32" s="30">
        <v>56.8</v>
      </c>
      <c r="AK32" s="28">
        <f t="shared" si="7"/>
        <v>718.36891200000002</v>
      </c>
      <c r="AL32" s="12">
        <v>54.8</v>
      </c>
      <c r="AM32" s="28">
        <f t="shared" si="8"/>
        <v>393.66616377599996</v>
      </c>
      <c r="AN32" s="12">
        <v>31.7</v>
      </c>
      <c r="AO32" s="28">
        <f t="shared" si="9"/>
        <v>227.72294510399999</v>
      </c>
      <c r="AP32" s="12">
        <v>5.5</v>
      </c>
      <c r="AQ32" s="28">
        <f t="shared" si="10"/>
        <v>39.510290159999997</v>
      </c>
      <c r="AR32" s="12">
        <v>7.9</v>
      </c>
      <c r="AS32" s="28">
        <f t="shared" si="11"/>
        <v>56.751144048000008</v>
      </c>
      <c r="AT32" s="12">
        <v>39.299999999999997</v>
      </c>
      <c r="AU32" s="28">
        <f t="shared" si="12"/>
        <v>497.04046199999988</v>
      </c>
      <c r="AV32" s="12">
        <v>2.8</v>
      </c>
      <c r="AW32" s="28">
        <f t="shared" si="13"/>
        <v>13.917132935999996</v>
      </c>
      <c r="AX32" s="12">
        <v>28.6</v>
      </c>
      <c r="AY32" s="28">
        <f t="shared" si="14"/>
        <v>142.15357213199997</v>
      </c>
      <c r="AZ32" s="12">
        <v>10.3</v>
      </c>
      <c r="BA32" s="28">
        <f t="shared" si="15"/>
        <v>51.19516758599999</v>
      </c>
      <c r="BB32" s="12">
        <v>4.5999999999999996</v>
      </c>
      <c r="BC32" s="28">
        <f t="shared" si="16"/>
        <v>22.863861251999992</v>
      </c>
      <c r="BD32" s="12">
        <v>53.6</v>
      </c>
      <c r="BE32" s="28">
        <f t="shared" si="17"/>
        <v>266.41368763199995</v>
      </c>
      <c r="BF32" s="12">
        <v>5.5E-2</v>
      </c>
      <c r="BG32" s="28">
        <f t="shared" si="18"/>
        <v>0.69560369999999994</v>
      </c>
      <c r="BH32" s="12">
        <v>0.42</v>
      </c>
      <c r="BI32" s="28">
        <f t="shared" si="19"/>
        <v>5.3118827999999993</v>
      </c>
      <c r="BJ32" s="12">
        <v>3.4</v>
      </c>
      <c r="BK32" s="28">
        <f t="shared" si="20"/>
        <v>43.000955999999995</v>
      </c>
      <c r="BL32" s="12">
        <v>6.3</v>
      </c>
      <c r="BM32" s="12"/>
      <c r="BN32" s="28">
        <f t="shared" si="21"/>
        <v>45.257241456000003</v>
      </c>
      <c r="BO32" s="12">
        <v>60.8</v>
      </c>
      <c r="BP32" s="12">
        <v>21.9</v>
      </c>
      <c r="BQ32" s="12">
        <v>15.8</v>
      </c>
      <c r="BR32" s="12">
        <v>35.9</v>
      </c>
      <c r="BS32" s="12">
        <v>19.3</v>
      </c>
      <c r="BT32" s="12">
        <v>6.4</v>
      </c>
      <c r="BU32" s="12">
        <v>24.7</v>
      </c>
      <c r="BV32" s="28">
        <f t="shared" si="22"/>
        <v>1774371.21264</v>
      </c>
      <c r="BW32" s="12">
        <v>29.5</v>
      </c>
      <c r="BX32" s="12">
        <v>16.5</v>
      </c>
      <c r="BY32" s="28">
        <f t="shared" si="23"/>
        <v>292771.25008560001</v>
      </c>
      <c r="BZ32" s="12">
        <v>24.2</v>
      </c>
      <c r="CA32" s="28">
        <f t="shared" si="24"/>
        <v>429397.83345887996</v>
      </c>
      <c r="CB32" s="12">
        <v>16.8</v>
      </c>
      <c r="CC32" s="28">
        <f t="shared" si="25"/>
        <v>298094.36372352001</v>
      </c>
      <c r="CD32" s="12">
        <v>7.2</v>
      </c>
      <c r="CE32" s="28">
        <f t="shared" si="26"/>
        <v>127754.72731008001</v>
      </c>
      <c r="CF32" s="12">
        <v>5.8</v>
      </c>
      <c r="CG32" s="28">
        <f t="shared" si="27"/>
        <v>102913.53033312</v>
      </c>
      <c r="CH32" s="12">
        <v>5.7</v>
      </c>
      <c r="CI32" s="28">
        <f t="shared" si="28"/>
        <v>40.947027984000002</v>
      </c>
      <c r="CJ32" s="12">
        <v>3.6</v>
      </c>
      <c r="CK32" s="12">
        <v>32.700000000000003</v>
      </c>
      <c r="CL32" s="28">
        <f t="shared" si="29"/>
        <v>133896.78150768002</v>
      </c>
      <c r="CM32" s="12">
        <v>23</v>
      </c>
      <c r="CN32" s="28">
        <f t="shared" si="30"/>
        <v>9.4178164363200008</v>
      </c>
      <c r="CO32" s="12">
        <v>40.700000000000003</v>
      </c>
      <c r="CP32" s="28">
        <f t="shared" si="31"/>
        <v>16.665440389488001</v>
      </c>
      <c r="CQ32" s="12">
        <v>23.1</v>
      </c>
      <c r="CR32" s="28">
        <f t="shared" si="34"/>
        <v>461.53800000000001</v>
      </c>
      <c r="CS32" s="12">
        <v>0.17</v>
      </c>
      <c r="CT32" s="28">
        <f t="shared" si="35"/>
        <v>3.3966000000000003</v>
      </c>
      <c r="CU32" s="27">
        <v>46002</v>
      </c>
      <c r="CV32" s="11">
        <v>0</v>
      </c>
      <c r="CW32" s="11">
        <v>75</v>
      </c>
      <c r="CX32" s="11">
        <v>2</v>
      </c>
      <c r="CY32" s="11">
        <v>1</v>
      </c>
      <c r="CZ32" s="11" t="s">
        <v>93</v>
      </c>
      <c r="DA32" s="11">
        <v>1</v>
      </c>
      <c r="DB32" s="11" t="s">
        <v>287</v>
      </c>
      <c r="DC32" s="11">
        <v>0.24</v>
      </c>
      <c r="DD32" s="11">
        <v>521</v>
      </c>
      <c r="DE32" s="11">
        <v>406</v>
      </c>
      <c r="DF32" s="11">
        <v>65</v>
      </c>
      <c r="DG32" s="11">
        <v>14039</v>
      </c>
      <c r="DH32" s="11">
        <v>3.6999999999999998E-2</v>
      </c>
      <c r="DI32" s="11">
        <v>0.78</v>
      </c>
      <c r="DJ32" s="11">
        <v>698</v>
      </c>
      <c r="DK32" s="11">
        <v>17.53</v>
      </c>
      <c r="DL32" s="11" t="s">
        <v>96</v>
      </c>
      <c r="DM32" s="11">
        <v>27</v>
      </c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>
        <v>2</v>
      </c>
      <c r="DY32" s="11"/>
      <c r="DZ32" s="11"/>
      <c r="EA32" s="11"/>
      <c r="EB32" s="11">
        <v>1</v>
      </c>
      <c r="EC32" s="6">
        <v>0</v>
      </c>
      <c r="ED32" s="6">
        <v>1</v>
      </c>
      <c r="EE32" s="6">
        <v>0</v>
      </c>
      <c r="EF32" s="6">
        <v>0</v>
      </c>
      <c r="EG32" s="6">
        <v>0</v>
      </c>
      <c r="EH32" s="6">
        <v>1</v>
      </c>
      <c r="EI32" s="6">
        <v>0</v>
      </c>
      <c r="EJ32" s="6">
        <v>0</v>
      </c>
      <c r="EK32" s="6">
        <v>0</v>
      </c>
      <c r="EL32" s="6">
        <v>1</v>
      </c>
      <c r="EM32" s="6">
        <v>0</v>
      </c>
      <c r="EN32" s="6"/>
      <c r="EO32" s="6">
        <v>0</v>
      </c>
      <c r="EP32" s="6">
        <v>1</v>
      </c>
      <c r="EQ32" s="6">
        <v>1</v>
      </c>
      <c r="ER32" s="6">
        <v>0</v>
      </c>
      <c r="ES32" s="6">
        <v>0</v>
      </c>
      <c r="ET32" s="6">
        <v>0</v>
      </c>
      <c r="EU32" s="11"/>
      <c r="EV32" s="4"/>
      <c r="EW32" s="4"/>
      <c r="EX32" s="4"/>
    </row>
    <row r="33" spans="1:154" s="5" customFormat="1" ht="15.75" customHeight="1">
      <c r="A33" s="12">
        <v>30</v>
      </c>
      <c r="B33" s="12">
        <v>7040154</v>
      </c>
      <c r="C33" s="12" t="s">
        <v>125</v>
      </c>
      <c r="D33" s="12" t="s">
        <v>126</v>
      </c>
      <c r="E33" s="12">
        <v>2934944</v>
      </c>
      <c r="F33" s="12">
        <v>1727069</v>
      </c>
      <c r="G33" s="12">
        <v>4.68</v>
      </c>
      <c r="H33" s="12">
        <v>44.8</v>
      </c>
      <c r="I33" s="12">
        <v>14.7</v>
      </c>
      <c r="J33" s="12">
        <v>316</v>
      </c>
      <c r="K33" s="12">
        <v>7.02</v>
      </c>
      <c r="L33" s="12">
        <v>69.58</v>
      </c>
      <c r="M33" s="12">
        <v>0.63</v>
      </c>
      <c r="N33" s="12">
        <v>6.28</v>
      </c>
      <c r="O33" s="12">
        <v>0.06</v>
      </c>
      <c r="P33" s="12">
        <v>0.56999999999999995</v>
      </c>
      <c r="Q33" s="12">
        <v>0.03</v>
      </c>
      <c r="R33" s="12">
        <v>0.34</v>
      </c>
      <c r="S33" s="12">
        <v>2.34</v>
      </c>
      <c r="T33" s="12">
        <v>23.23</v>
      </c>
      <c r="U33" s="12">
        <v>2745</v>
      </c>
      <c r="V33" s="12">
        <v>8.8000000000000007</v>
      </c>
      <c r="W33" s="28">
        <f t="shared" si="0"/>
        <v>241.56000000000003</v>
      </c>
      <c r="X33" s="12">
        <v>61.2</v>
      </c>
      <c r="Y33" s="28">
        <f t="shared" si="1"/>
        <v>1679.94</v>
      </c>
      <c r="Z33" s="12">
        <v>35</v>
      </c>
      <c r="AA33" s="28">
        <f t="shared" si="2"/>
        <v>960.75</v>
      </c>
      <c r="AB33" s="12">
        <v>8.1</v>
      </c>
      <c r="AC33" s="28">
        <f t="shared" si="3"/>
        <v>222.345</v>
      </c>
      <c r="AD33" s="12">
        <v>26.9</v>
      </c>
      <c r="AE33" s="29">
        <f t="shared" si="4"/>
        <v>738.40499999999997</v>
      </c>
      <c r="AF33" s="6"/>
      <c r="AG33" s="30"/>
      <c r="AH33" s="30">
        <v>75.7</v>
      </c>
      <c r="AI33" s="28">
        <f t="shared" si="6"/>
        <v>2077.9650000000001</v>
      </c>
      <c r="AJ33" s="30">
        <v>79.599999999999994</v>
      </c>
      <c r="AK33" s="28">
        <f t="shared" si="7"/>
        <v>1654.06014</v>
      </c>
      <c r="AL33" s="12">
        <v>60.3</v>
      </c>
      <c r="AM33" s="28">
        <f t="shared" si="8"/>
        <v>997.39826442000003</v>
      </c>
      <c r="AN33" s="12">
        <v>34.4</v>
      </c>
      <c r="AO33" s="28">
        <f t="shared" si="9"/>
        <v>568.99668815999996</v>
      </c>
      <c r="AP33" s="12">
        <v>4.3</v>
      </c>
      <c r="AQ33" s="28">
        <f t="shared" si="10"/>
        <v>71.124586019999995</v>
      </c>
      <c r="AR33" s="12">
        <v>0.68</v>
      </c>
      <c r="AS33" s="28">
        <f t="shared" si="11"/>
        <v>11.247608952</v>
      </c>
      <c r="AT33" s="12">
        <v>17.899999999999999</v>
      </c>
      <c r="AU33" s="28">
        <f t="shared" si="12"/>
        <v>371.955735</v>
      </c>
      <c r="AV33" s="12">
        <v>8.8000000000000007</v>
      </c>
      <c r="AW33" s="28">
        <f t="shared" si="13"/>
        <v>32.732104679999999</v>
      </c>
      <c r="AX33" s="12">
        <v>60</v>
      </c>
      <c r="AY33" s="28">
        <f t="shared" si="14"/>
        <v>223.17344100000003</v>
      </c>
      <c r="AZ33" s="12">
        <v>2.1</v>
      </c>
      <c r="BA33" s="28">
        <f t="shared" si="15"/>
        <v>7.8110704350000004</v>
      </c>
      <c r="BB33" s="12">
        <v>5.8</v>
      </c>
      <c r="BC33" s="28">
        <f t="shared" si="16"/>
        <v>21.573432629999999</v>
      </c>
      <c r="BD33" s="12">
        <v>21.4</v>
      </c>
      <c r="BE33" s="28">
        <f t="shared" si="17"/>
        <v>79.598527289999993</v>
      </c>
      <c r="BF33" s="12">
        <v>0.11</v>
      </c>
      <c r="BG33" s="28">
        <f t="shared" si="18"/>
        <v>2.2857615</v>
      </c>
      <c r="BH33" s="12">
        <v>0.16</v>
      </c>
      <c r="BI33" s="28">
        <f t="shared" si="19"/>
        <v>3.3247439999999999</v>
      </c>
      <c r="BJ33" s="12">
        <v>2.2000000000000002</v>
      </c>
      <c r="BK33" s="28">
        <f t="shared" si="20"/>
        <v>45.715230000000012</v>
      </c>
      <c r="BL33" s="12">
        <v>7.4</v>
      </c>
      <c r="BM33" s="12"/>
      <c r="BN33" s="28">
        <f t="shared" si="21"/>
        <v>122.40045036000001</v>
      </c>
      <c r="BO33" s="12">
        <v>60</v>
      </c>
      <c r="BP33" s="12">
        <v>35.700000000000003</v>
      </c>
      <c r="BQ33" s="12">
        <v>16.600000000000001</v>
      </c>
      <c r="BR33" s="12">
        <v>25.1</v>
      </c>
      <c r="BS33" s="12">
        <v>5.4</v>
      </c>
      <c r="BT33" s="12">
        <v>13.9</v>
      </c>
      <c r="BU33" s="12">
        <v>20.6</v>
      </c>
      <c r="BV33" s="28">
        <f t="shared" si="22"/>
        <v>3407363.8884000001</v>
      </c>
      <c r="BW33" s="12">
        <v>30.5</v>
      </c>
      <c r="BX33" s="12">
        <v>21.2</v>
      </c>
      <c r="BY33" s="28">
        <f t="shared" si="23"/>
        <v>722361.14434080001</v>
      </c>
      <c r="BZ33" s="12">
        <v>26.8</v>
      </c>
      <c r="CA33" s="28">
        <f t="shared" si="24"/>
        <v>913173.52209120011</v>
      </c>
      <c r="CB33" s="12">
        <v>14.9</v>
      </c>
      <c r="CC33" s="28">
        <f t="shared" si="25"/>
        <v>507697.21937160002</v>
      </c>
      <c r="CD33" s="12">
        <v>4.5</v>
      </c>
      <c r="CE33" s="28">
        <f t="shared" si="26"/>
        <v>153331.37497800001</v>
      </c>
      <c r="CF33" s="12">
        <v>2.1</v>
      </c>
      <c r="CG33" s="28">
        <f t="shared" si="27"/>
        <v>71554.641656399996</v>
      </c>
      <c r="CH33" s="12">
        <v>8.1999999999999993</v>
      </c>
      <c r="CI33" s="28">
        <f t="shared" si="28"/>
        <v>135.63293148</v>
      </c>
      <c r="CJ33" s="12">
        <v>10.8</v>
      </c>
      <c r="CK33" s="12">
        <v>53.7</v>
      </c>
      <c r="CL33" s="28">
        <f t="shared" si="29"/>
        <v>728348.84204759996</v>
      </c>
      <c r="CM33" s="12">
        <v>16.3</v>
      </c>
      <c r="CN33" s="28">
        <f t="shared" si="30"/>
        <v>22.108167831239999</v>
      </c>
      <c r="CO33" s="12">
        <v>19.2</v>
      </c>
      <c r="CP33" s="28">
        <f t="shared" si="31"/>
        <v>26.041522844159999</v>
      </c>
      <c r="CQ33" s="12">
        <v>12.1</v>
      </c>
      <c r="CR33" s="28">
        <f t="shared" si="34"/>
        <v>332.14499999999998</v>
      </c>
      <c r="CS33" s="12">
        <v>0.64</v>
      </c>
      <c r="CT33" s="28">
        <f t="shared" si="35"/>
        <v>17.567999999999998</v>
      </c>
      <c r="CU33" s="27">
        <v>45883</v>
      </c>
      <c r="CV33" s="11">
        <v>0</v>
      </c>
      <c r="CW33" s="11">
        <v>62</v>
      </c>
      <c r="CX33" s="11">
        <v>2</v>
      </c>
      <c r="CY33" s="11">
        <v>1</v>
      </c>
      <c r="CZ33" s="11" t="s">
        <v>93</v>
      </c>
      <c r="DA33" s="11">
        <v>1</v>
      </c>
      <c r="DB33" s="11" t="s">
        <v>153</v>
      </c>
      <c r="DC33" s="11">
        <v>0.8</v>
      </c>
      <c r="DD33" s="11">
        <v>335</v>
      </c>
      <c r="DE33" s="11">
        <v>936</v>
      </c>
      <c r="DF33" s="11">
        <v>149</v>
      </c>
      <c r="DG33" s="11">
        <v>10233</v>
      </c>
      <c r="DH33" s="11">
        <v>3.3000000000000002E-2</v>
      </c>
      <c r="DI33" s="11">
        <v>2.79</v>
      </c>
      <c r="DJ33" s="11">
        <v>1103</v>
      </c>
      <c r="DK33" s="11">
        <v>17.059999999999999</v>
      </c>
      <c r="DL33" s="11" t="s">
        <v>95</v>
      </c>
      <c r="DM33" s="11">
        <v>26</v>
      </c>
      <c r="DN33" s="11">
        <v>4</v>
      </c>
      <c r="DO33" s="11">
        <v>0.5</v>
      </c>
      <c r="DP33" s="11">
        <v>1</v>
      </c>
      <c r="DQ33" s="11">
        <v>0.5</v>
      </c>
      <c r="DR33" s="11">
        <v>1</v>
      </c>
      <c r="DS33" s="11">
        <v>0.5</v>
      </c>
      <c r="DT33" s="11">
        <v>1</v>
      </c>
      <c r="DU33" s="11">
        <v>0</v>
      </c>
      <c r="DV33" s="11">
        <v>295</v>
      </c>
      <c r="DW33" s="11">
        <v>51</v>
      </c>
      <c r="DX33" s="11">
        <v>1</v>
      </c>
      <c r="DY33" s="11"/>
      <c r="DZ33" s="11"/>
      <c r="EA33" s="11"/>
      <c r="EB33" s="11">
        <v>1</v>
      </c>
      <c r="EC33" s="6">
        <v>1</v>
      </c>
      <c r="ED33" s="6">
        <v>1</v>
      </c>
      <c r="EE33" s="6">
        <v>0</v>
      </c>
      <c r="EF33" s="6">
        <v>1</v>
      </c>
      <c r="EG33" s="6">
        <v>0</v>
      </c>
      <c r="EH33" s="6">
        <v>0</v>
      </c>
      <c r="EI33" s="6">
        <v>0</v>
      </c>
      <c r="EJ33" s="6">
        <v>0</v>
      </c>
      <c r="EK33" s="6">
        <v>2</v>
      </c>
      <c r="EL33" s="6"/>
      <c r="EM33" s="6"/>
      <c r="EN33" s="6">
        <v>1</v>
      </c>
      <c r="EO33" s="6">
        <v>0</v>
      </c>
      <c r="EP33" s="6">
        <v>0</v>
      </c>
      <c r="EQ33" s="6">
        <v>1</v>
      </c>
      <c r="ER33" s="6">
        <v>0</v>
      </c>
      <c r="ES33" s="6">
        <v>0</v>
      </c>
      <c r="ET33" s="6">
        <v>0</v>
      </c>
      <c r="EU33" s="9" t="s">
        <v>288</v>
      </c>
      <c r="EV33" s="4"/>
      <c r="EW33" s="4"/>
      <c r="EX33" s="4"/>
    </row>
    <row r="34" spans="1:154" s="5" customFormat="1" ht="15.75" customHeight="1">
      <c r="A34" s="12">
        <v>57</v>
      </c>
      <c r="B34" s="12">
        <v>7041515</v>
      </c>
      <c r="C34" s="12" t="s">
        <v>127</v>
      </c>
      <c r="D34" s="12" t="s">
        <v>128</v>
      </c>
      <c r="E34" s="12">
        <v>3099926</v>
      </c>
      <c r="F34" s="12">
        <v>1745476</v>
      </c>
      <c r="G34" s="12">
        <v>4.9000000000000004</v>
      </c>
      <c r="H34" s="12">
        <v>46.6</v>
      </c>
      <c r="I34" s="12">
        <v>15.2</v>
      </c>
      <c r="J34" s="12">
        <v>225</v>
      </c>
      <c r="K34" s="12">
        <v>3.3</v>
      </c>
      <c r="L34" s="12">
        <v>53.94</v>
      </c>
      <c r="M34" s="12">
        <v>0.47</v>
      </c>
      <c r="N34" s="12">
        <v>7.73</v>
      </c>
      <c r="O34" s="12">
        <v>0.08</v>
      </c>
      <c r="P34" s="12">
        <v>1.32</v>
      </c>
      <c r="Q34" s="12">
        <v>0.04</v>
      </c>
      <c r="R34" s="12">
        <v>0.71</v>
      </c>
      <c r="S34" s="12">
        <v>2.2200000000000002</v>
      </c>
      <c r="T34" s="12">
        <v>36.299999999999997</v>
      </c>
      <c r="U34" s="12">
        <v>2573</v>
      </c>
      <c r="V34" s="12">
        <v>8.4</v>
      </c>
      <c r="W34" s="28">
        <f t="shared" si="0"/>
        <v>216.13200000000001</v>
      </c>
      <c r="X34" s="12">
        <v>67.5</v>
      </c>
      <c r="Y34" s="28">
        <f t="shared" si="1"/>
        <v>1736.7750000000001</v>
      </c>
      <c r="Z34" s="12">
        <v>32.4</v>
      </c>
      <c r="AA34" s="28">
        <f t="shared" si="2"/>
        <v>833.65199999999993</v>
      </c>
      <c r="AB34" s="12">
        <v>14.2</v>
      </c>
      <c r="AC34" s="28">
        <f t="shared" si="3"/>
        <v>365.36599999999999</v>
      </c>
      <c r="AD34" s="12">
        <v>17.600000000000001</v>
      </c>
      <c r="AE34" s="29">
        <f t="shared" si="4"/>
        <v>452.84800000000001</v>
      </c>
      <c r="AF34" s="30">
        <v>0.56000000000000005</v>
      </c>
      <c r="AG34" s="29">
        <f t="shared" si="5"/>
        <v>14.408800000000001</v>
      </c>
      <c r="AH34" s="30">
        <v>74.5</v>
      </c>
      <c r="AI34" s="28">
        <f t="shared" si="6"/>
        <v>1916.885</v>
      </c>
      <c r="AJ34" s="30">
        <v>72.599999999999994</v>
      </c>
      <c r="AK34" s="28">
        <f t="shared" si="7"/>
        <v>1391.65851</v>
      </c>
      <c r="AL34" s="12">
        <v>63.4</v>
      </c>
      <c r="AM34" s="28">
        <f t="shared" si="8"/>
        <v>882.31149533999996</v>
      </c>
      <c r="AN34" s="12">
        <v>31.8</v>
      </c>
      <c r="AO34" s="28">
        <f t="shared" si="9"/>
        <v>442.54740618000005</v>
      </c>
      <c r="AP34" s="12">
        <v>3.5</v>
      </c>
      <c r="AQ34" s="28">
        <f t="shared" si="10"/>
        <v>48.70804785</v>
      </c>
      <c r="AR34" s="12">
        <v>1.2</v>
      </c>
      <c r="AS34" s="28">
        <f t="shared" si="11"/>
        <v>16.699902120000001</v>
      </c>
      <c r="AT34" s="12">
        <v>18.100000000000001</v>
      </c>
      <c r="AU34" s="28">
        <f t="shared" si="12"/>
        <v>346.95618500000006</v>
      </c>
      <c r="AV34" s="12">
        <v>28.7</v>
      </c>
      <c r="AW34" s="28">
        <f t="shared" si="13"/>
        <v>99.576425095000019</v>
      </c>
      <c r="AX34" s="12">
        <v>47</v>
      </c>
      <c r="AY34" s="28">
        <f t="shared" si="14"/>
        <v>163.06940695000003</v>
      </c>
      <c r="AZ34" s="12">
        <v>5.6</v>
      </c>
      <c r="BA34" s="28">
        <f t="shared" si="15"/>
        <v>19.429546360000003</v>
      </c>
      <c r="BB34" s="12">
        <v>3</v>
      </c>
      <c r="BC34" s="28">
        <f t="shared" si="16"/>
        <v>10.408685550000003</v>
      </c>
      <c r="BD34" s="12">
        <v>15.1</v>
      </c>
      <c r="BE34" s="28">
        <f t="shared" si="17"/>
        <v>52.39038393500001</v>
      </c>
      <c r="BF34" s="12">
        <v>0.46</v>
      </c>
      <c r="BG34" s="28">
        <f t="shared" si="18"/>
        <v>8.8176710000000007</v>
      </c>
      <c r="BH34" s="12">
        <v>0.27</v>
      </c>
      <c r="BI34" s="28">
        <f t="shared" si="19"/>
        <v>5.1755895000000001</v>
      </c>
      <c r="BJ34" s="12">
        <v>8.6</v>
      </c>
      <c r="BK34" s="28">
        <f t="shared" si="20"/>
        <v>164.85210999999998</v>
      </c>
      <c r="BL34" s="12">
        <v>6.6</v>
      </c>
      <c r="BM34" s="12"/>
      <c r="BN34" s="28">
        <f t="shared" si="21"/>
        <v>91.849461660000003</v>
      </c>
      <c r="BO34" s="12">
        <v>48.1</v>
      </c>
      <c r="BP34" s="12">
        <v>24.3</v>
      </c>
      <c r="BQ34" s="12">
        <v>18.100000000000001</v>
      </c>
      <c r="BR34" s="12">
        <v>29.6</v>
      </c>
      <c r="BS34" s="12">
        <v>14.5</v>
      </c>
      <c r="BT34" s="12">
        <v>17.899999999999999</v>
      </c>
      <c r="BU34" s="12">
        <v>16.2</v>
      </c>
      <c r="BV34" s="28">
        <f t="shared" si="22"/>
        <v>2254486.7862</v>
      </c>
      <c r="BW34" s="12">
        <v>34.6</v>
      </c>
      <c r="BX34" s="12">
        <v>14.4</v>
      </c>
      <c r="BY34" s="28">
        <f t="shared" si="23"/>
        <v>324646.0972128</v>
      </c>
      <c r="BZ34" s="12">
        <v>26.8</v>
      </c>
      <c r="CA34" s="28">
        <f t="shared" si="24"/>
        <v>604202.45870159997</v>
      </c>
      <c r="CB34" s="12">
        <v>9.6999999999999993</v>
      </c>
      <c r="CC34" s="28">
        <f t="shared" si="25"/>
        <v>218685.21826139998</v>
      </c>
      <c r="CD34" s="12">
        <v>9.1</v>
      </c>
      <c r="CE34" s="28">
        <f t="shared" si="26"/>
        <v>205158.29754419997</v>
      </c>
      <c r="CF34" s="12">
        <v>5.4</v>
      </c>
      <c r="CG34" s="28">
        <f t="shared" si="27"/>
        <v>121742.28645480001</v>
      </c>
      <c r="CH34" s="12">
        <v>8.8000000000000007</v>
      </c>
      <c r="CI34" s="28">
        <f t="shared" si="28"/>
        <v>122.46594888000001</v>
      </c>
      <c r="CJ34" s="12">
        <v>7.4</v>
      </c>
      <c r="CK34" s="12">
        <v>37.1</v>
      </c>
      <c r="CL34" s="28">
        <f t="shared" si="29"/>
        <v>454348.67034480005</v>
      </c>
      <c r="CM34" s="12">
        <v>26.5</v>
      </c>
      <c r="CN34" s="28">
        <f t="shared" si="30"/>
        <v>32.453476453200004</v>
      </c>
      <c r="CO34" s="12">
        <v>29</v>
      </c>
      <c r="CP34" s="28">
        <f t="shared" si="31"/>
        <v>35.515125175200005</v>
      </c>
      <c r="CQ34" s="12">
        <v>9.6</v>
      </c>
      <c r="CR34" s="28">
        <f t="shared" si="34"/>
        <v>247.00799999999998</v>
      </c>
      <c r="CS34" s="12">
        <v>0.57999999999999996</v>
      </c>
      <c r="CT34" s="28">
        <f t="shared" si="35"/>
        <v>14.923399999999999</v>
      </c>
      <c r="CU34" s="27">
        <v>45953</v>
      </c>
      <c r="CV34" s="11">
        <v>1</v>
      </c>
      <c r="CW34" s="11">
        <v>73</v>
      </c>
      <c r="CX34" s="11">
        <v>1</v>
      </c>
      <c r="CY34" s="11">
        <v>1</v>
      </c>
      <c r="CZ34" s="11" t="s">
        <v>93</v>
      </c>
      <c r="DA34" s="11">
        <v>1</v>
      </c>
      <c r="DB34" s="11" t="s">
        <v>154</v>
      </c>
      <c r="DC34" s="11">
        <v>0.39</v>
      </c>
      <c r="DD34" s="11">
        <v>584</v>
      </c>
      <c r="DE34" s="11">
        <v>889</v>
      </c>
      <c r="DF34" s="11">
        <v>131</v>
      </c>
      <c r="DG34" s="11">
        <v>18063</v>
      </c>
      <c r="DH34" s="11">
        <v>3.2000000000000001E-2</v>
      </c>
      <c r="DI34" s="11">
        <v>1.52</v>
      </c>
      <c r="DJ34" s="11">
        <v>869</v>
      </c>
      <c r="DK34" s="11">
        <v>29.09</v>
      </c>
      <c r="DL34" s="11" t="s">
        <v>95</v>
      </c>
      <c r="DM34" s="11">
        <v>21</v>
      </c>
      <c r="DN34" s="11">
        <v>4.5</v>
      </c>
      <c r="DO34" s="11">
        <v>1</v>
      </c>
      <c r="DP34" s="11">
        <v>1</v>
      </c>
      <c r="DQ34" s="11">
        <v>1</v>
      </c>
      <c r="DR34" s="11">
        <v>1</v>
      </c>
      <c r="DS34" s="11">
        <v>1</v>
      </c>
      <c r="DT34" s="11">
        <v>0.5</v>
      </c>
      <c r="DU34" s="11">
        <v>0</v>
      </c>
      <c r="DV34" s="11">
        <v>288</v>
      </c>
      <c r="DW34" s="11">
        <v>51</v>
      </c>
      <c r="DX34" s="11">
        <v>2</v>
      </c>
      <c r="DY34" s="11"/>
      <c r="DZ34" s="11"/>
      <c r="EA34" s="11"/>
      <c r="EB34" s="11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1</v>
      </c>
      <c r="EL34" s="6">
        <v>0</v>
      </c>
      <c r="EM34" s="6">
        <v>1</v>
      </c>
      <c r="EN34" s="6">
        <v>1</v>
      </c>
      <c r="EO34" s="6">
        <v>1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9" t="s">
        <v>289</v>
      </c>
      <c r="EV34" s="4"/>
      <c r="EW34" s="4"/>
      <c r="EX34" s="4"/>
    </row>
    <row r="35" spans="1:154" s="5" customFormat="1" ht="15.75" customHeight="1">
      <c r="A35" s="12">
        <v>35</v>
      </c>
      <c r="B35" s="12">
        <v>7040338</v>
      </c>
      <c r="C35" s="12" t="s">
        <v>129</v>
      </c>
      <c r="D35" s="12" t="s">
        <v>130</v>
      </c>
      <c r="E35" s="12">
        <v>3372974</v>
      </c>
      <c r="F35" s="12">
        <v>2059590</v>
      </c>
      <c r="G35" s="12">
        <v>4.8600000000000003</v>
      </c>
      <c r="H35" s="12">
        <v>41.9</v>
      </c>
      <c r="I35" s="12">
        <v>13.5</v>
      </c>
      <c r="J35" s="12">
        <v>246</v>
      </c>
      <c r="K35" s="12">
        <v>4.5999999999999996</v>
      </c>
      <c r="L35" s="12">
        <v>58.44</v>
      </c>
      <c r="M35" s="12">
        <v>0.67</v>
      </c>
      <c r="N35" s="12">
        <v>8.49</v>
      </c>
      <c r="O35" s="12">
        <v>0.33</v>
      </c>
      <c r="P35" s="12">
        <v>4.21</v>
      </c>
      <c r="Q35" s="12">
        <v>7.0000000000000007E-2</v>
      </c>
      <c r="R35" s="12">
        <v>0.82</v>
      </c>
      <c r="S35" s="12">
        <v>2.21</v>
      </c>
      <c r="T35" s="12">
        <v>28.04</v>
      </c>
      <c r="U35" s="12">
        <v>2317</v>
      </c>
      <c r="V35" s="12">
        <v>5.9</v>
      </c>
      <c r="W35" s="28">
        <f t="shared" si="0"/>
        <v>136.703</v>
      </c>
      <c r="X35" s="12">
        <v>69.2</v>
      </c>
      <c r="Y35" s="28">
        <f t="shared" si="1"/>
        <v>1603.364</v>
      </c>
      <c r="Z35" s="12">
        <v>25.7</v>
      </c>
      <c r="AA35" s="28">
        <f t="shared" si="2"/>
        <v>595.46900000000005</v>
      </c>
      <c r="AB35" s="12">
        <v>15.5</v>
      </c>
      <c r="AC35" s="28">
        <f t="shared" si="3"/>
        <v>359.13499999999999</v>
      </c>
      <c r="AD35" s="12">
        <v>10.199999999999999</v>
      </c>
      <c r="AE35" s="29">
        <f t="shared" si="4"/>
        <v>236.33399999999997</v>
      </c>
      <c r="AF35" s="6"/>
      <c r="AG35" s="6"/>
      <c r="AH35" s="30">
        <v>74.7</v>
      </c>
      <c r="AI35" s="28">
        <f t="shared" si="6"/>
        <v>1730.799</v>
      </c>
      <c r="AJ35" s="30">
        <v>60.1</v>
      </c>
      <c r="AK35" s="28">
        <f t="shared" si="7"/>
        <v>1040.2101990000001</v>
      </c>
      <c r="AL35" s="12">
        <v>43</v>
      </c>
      <c r="AM35" s="28">
        <f t="shared" si="8"/>
        <v>447.29038557000007</v>
      </c>
      <c r="AN35" s="12">
        <v>49.3</v>
      </c>
      <c r="AO35" s="28">
        <f t="shared" si="9"/>
        <v>512.82362810699999</v>
      </c>
      <c r="AP35" s="12">
        <v>6.4</v>
      </c>
      <c r="AQ35" s="28">
        <f t="shared" si="10"/>
        <v>66.573452736000007</v>
      </c>
      <c r="AR35" s="12">
        <v>1.3</v>
      </c>
      <c r="AS35" s="28">
        <f t="shared" si="11"/>
        <v>13.522732587000002</v>
      </c>
      <c r="AT35" s="12">
        <v>34.5</v>
      </c>
      <c r="AU35" s="28">
        <f t="shared" si="12"/>
        <v>597.12565499999994</v>
      </c>
      <c r="AV35" s="12">
        <v>11.4</v>
      </c>
      <c r="AW35" s="28">
        <f t="shared" si="13"/>
        <v>68.07232467</v>
      </c>
      <c r="AX35" s="12">
        <v>37.700000000000003</v>
      </c>
      <c r="AY35" s="28">
        <f t="shared" si="14"/>
        <v>225.11637193499999</v>
      </c>
      <c r="AZ35" s="12">
        <v>4.3</v>
      </c>
      <c r="BA35" s="28">
        <f t="shared" si="15"/>
        <v>25.676403164999996</v>
      </c>
      <c r="BB35" s="12">
        <v>3.2</v>
      </c>
      <c r="BC35" s="28">
        <f t="shared" si="16"/>
        <v>19.108020959999998</v>
      </c>
      <c r="BD35" s="12">
        <v>43.4</v>
      </c>
      <c r="BE35" s="28">
        <f t="shared" si="17"/>
        <v>259.15253426999993</v>
      </c>
      <c r="BF35" s="12">
        <v>0.43</v>
      </c>
      <c r="BG35" s="28">
        <f t="shared" si="18"/>
        <v>7.4424356999999999</v>
      </c>
      <c r="BH35" s="12">
        <v>0.46</v>
      </c>
      <c r="BI35" s="28">
        <f t="shared" si="19"/>
        <v>7.9616754000000007</v>
      </c>
      <c r="BJ35" s="12">
        <v>4.5</v>
      </c>
      <c r="BK35" s="28">
        <f t="shared" si="20"/>
        <v>77.885954999999996</v>
      </c>
      <c r="BL35" s="12">
        <v>8.6</v>
      </c>
      <c r="BM35" s="12"/>
      <c r="BN35" s="28">
        <f t="shared" si="21"/>
        <v>89.458077114000005</v>
      </c>
      <c r="BO35" s="12">
        <v>48.1</v>
      </c>
      <c r="BP35" s="12">
        <v>26</v>
      </c>
      <c r="BQ35" s="12">
        <v>18.8</v>
      </c>
      <c r="BR35" s="12">
        <v>19.7</v>
      </c>
      <c r="BS35" s="12">
        <v>9.6</v>
      </c>
      <c r="BT35" s="12">
        <v>5.6</v>
      </c>
      <c r="BU35" s="12">
        <v>39.9</v>
      </c>
      <c r="BV35" s="28">
        <f t="shared" si="22"/>
        <v>4150438.6940100007</v>
      </c>
      <c r="BW35" s="12">
        <v>32</v>
      </c>
      <c r="BX35" s="12">
        <v>25.7</v>
      </c>
      <c r="BY35" s="28">
        <f t="shared" si="23"/>
        <v>1066662.7443605701</v>
      </c>
      <c r="BZ35" s="12">
        <v>20</v>
      </c>
      <c r="CA35" s="28">
        <f t="shared" si="24"/>
        <v>830087.73880200018</v>
      </c>
      <c r="CB35" s="12">
        <v>9.8000000000000007</v>
      </c>
      <c r="CC35" s="28">
        <f t="shared" si="25"/>
        <v>406742.99201298004</v>
      </c>
      <c r="CD35" s="12">
        <v>6.7</v>
      </c>
      <c r="CE35" s="28">
        <f t="shared" si="26"/>
        <v>278079.39249867003</v>
      </c>
      <c r="CF35" s="12">
        <v>5.8</v>
      </c>
      <c r="CG35" s="28">
        <f t="shared" si="27"/>
        <v>240725.44425258003</v>
      </c>
      <c r="CH35" s="12">
        <v>8</v>
      </c>
      <c r="CI35" s="28">
        <f t="shared" si="28"/>
        <v>83.216815920000002</v>
      </c>
      <c r="CJ35" s="12">
        <v>17.7</v>
      </c>
      <c r="CK35" s="12">
        <v>50.9</v>
      </c>
      <c r="CL35" s="28">
        <f t="shared" si="29"/>
        <v>423573.59303280001</v>
      </c>
      <c r="CM35" s="12">
        <v>11.1</v>
      </c>
      <c r="CN35" s="28">
        <f t="shared" si="30"/>
        <v>9.2370665671200012</v>
      </c>
      <c r="CO35" s="12">
        <v>20.3</v>
      </c>
      <c r="CP35" s="28">
        <f t="shared" si="31"/>
        <v>16.893013631759999</v>
      </c>
      <c r="CQ35" s="12">
        <v>13.7</v>
      </c>
      <c r="CR35" s="28">
        <f t="shared" si="34"/>
        <v>317.42899999999997</v>
      </c>
      <c r="CS35" s="12">
        <v>1.5</v>
      </c>
      <c r="CT35" s="28">
        <f t="shared" si="35"/>
        <v>34.755000000000003</v>
      </c>
      <c r="CU35" s="27">
        <v>45891</v>
      </c>
      <c r="CV35" s="11">
        <v>1</v>
      </c>
      <c r="CW35" s="11">
        <v>69</v>
      </c>
      <c r="CX35" s="11">
        <v>3</v>
      </c>
      <c r="CY35" s="11">
        <v>2</v>
      </c>
      <c r="CZ35" s="11" t="s">
        <v>283</v>
      </c>
      <c r="DA35" s="11">
        <v>0</v>
      </c>
      <c r="DB35" s="11" t="s">
        <v>290</v>
      </c>
      <c r="DC35" s="11">
        <v>0.18</v>
      </c>
      <c r="DD35" s="11">
        <v>1447</v>
      </c>
      <c r="DE35" s="11">
        <v>297</v>
      </c>
      <c r="DF35" s="11">
        <v>35</v>
      </c>
      <c r="DG35" s="11">
        <v>14235</v>
      </c>
      <c r="DH35" s="11">
        <v>0.12</v>
      </c>
      <c r="DI35" s="11">
        <v>0.21</v>
      </c>
      <c r="DJ35" s="11">
        <v>452</v>
      </c>
      <c r="DK35" s="11">
        <v>17.72</v>
      </c>
      <c r="DL35" s="11" t="s">
        <v>95</v>
      </c>
      <c r="DM35" s="11">
        <v>26</v>
      </c>
      <c r="DN35" s="11">
        <v>1.5</v>
      </c>
      <c r="DO35" s="11">
        <v>0.5</v>
      </c>
      <c r="DP35" s="11">
        <v>0.5</v>
      </c>
      <c r="DQ35" s="11">
        <v>0.5</v>
      </c>
      <c r="DR35" s="11">
        <v>0.5</v>
      </c>
      <c r="DS35" s="11">
        <v>0</v>
      </c>
      <c r="DT35" s="11">
        <v>0</v>
      </c>
      <c r="DU35" s="11">
        <v>0</v>
      </c>
      <c r="DV35" s="11">
        <v>342</v>
      </c>
      <c r="DW35" s="11">
        <v>60</v>
      </c>
      <c r="DX35" s="11">
        <v>1</v>
      </c>
      <c r="DY35" s="11"/>
      <c r="DZ35" s="11"/>
      <c r="EA35" s="11"/>
      <c r="EB35" s="11">
        <v>1</v>
      </c>
      <c r="EC35" s="6">
        <v>1</v>
      </c>
      <c r="ED35" s="6">
        <v>1</v>
      </c>
      <c r="EE35" s="6">
        <v>0</v>
      </c>
      <c r="EF35" s="6">
        <v>0</v>
      </c>
      <c r="EG35" s="6">
        <v>0</v>
      </c>
      <c r="EH35" s="6">
        <v>1</v>
      </c>
      <c r="EI35" s="6">
        <v>1</v>
      </c>
      <c r="EJ35" s="6">
        <v>0</v>
      </c>
      <c r="EK35" s="6">
        <v>1</v>
      </c>
      <c r="EL35" s="6">
        <v>0</v>
      </c>
      <c r="EM35" s="6">
        <v>0</v>
      </c>
      <c r="EN35" s="6">
        <v>1</v>
      </c>
      <c r="EO35" s="6">
        <v>0</v>
      </c>
      <c r="EP35" s="6">
        <v>1</v>
      </c>
      <c r="EQ35" s="6">
        <v>1</v>
      </c>
      <c r="ER35" s="6">
        <v>0</v>
      </c>
      <c r="ES35" s="6">
        <v>0</v>
      </c>
      <c r="ET35" s="6">
        <v>0</v>
      </c>
      <c r="EU35" s="9" t="s">
        <v>291</v>
      </c>
      <c r="EV35" s="4"/>
      <c r="EW35" s="4"/>
      <c r="EX35" s="4"/>
    </row>
    <row r="36" spans="1:154" s="5" customFormat="1" ht="15.75" customHeight="1">
      <c r="A36" s="12">
        <v>8</v>
      </c>
      <c r="B36" s="12">
        <v>7039295</v>
      </c>
      <c r="C36" s="12" t="s">
        <v>131</v>
      </c>
      <c r="D36" s="12" t="s">
        <v>132</v>
      </c>
      <c r="E36" s="12">
        <v>2871916</v>
      </c>
      <c r="F36" s="12">
        <v>2082637</v>
      </c>
      <c r="G36" s="12">
        <v>4.25</v>
      </c>
      <c r="H36" s="12">
        <v>38.299999999999997</v>
      </c>
      <c r="I36" s="12">
        <v>12.5</v>
      </c>
      <c r="J36" s="12">
        <v>262</v>
      </c>
      <c r="K36" s="12">
        <v>2.34</v>
      </c>
      <c r="L36" s="12">
        <v>52.99</v>
      </c>
      <c r="M36" s="12">
        <v>0.4</v>
      </c>
      <c r="N36" s="12">
        <v>9.02</v>
      </c>
      <c r="O36" s="12">
        <v>0.08</v>
      </c>
      <c r="P36" s="12">
        <v>1.71</v>
      </c>
      <c r="Q36" s="12">
        <v>0.02</v>
      </c>
      <c r="R36" s="12">
        <v>0.53</v>
      </c>
      <c r="S36" s="12">
        <v>1.58</v>
      </c>
      <c r="T36" s="12">
        <v>35.75</v>
      </c>
      <c r="U36" s="12">
        <v>1874</v>
      </c>
      <c r="V36" s="12">
        <v>8.4</v>
      </c>
      <c r="W36" s="28">
        <f t="shared" si="0"/>
        <v>157.416</v>
      </c>
      <c r="X36" s="12">
        <v>53.4</v>
      </c>
      <c r="Y36" s="28">
        <f t="shared" si="1"/>
        <v>1000.7159999999999</v>
      </c>
      <c r="Z36" s="12">
        <v>46.2</v>
      </c>
      <c r="AA36" s="28">
        <f t="shared" si="2"/>
        <v>865.78800000000001</v>
      </c>
      <c r="AB36" s="12">
        <v>17.3</v>
      </c>
      <c r="AC36" s="28">
        <f t="shared" si="3"/>
        <v>324.202</v>
      </c>
      <c r="AD36" s="12">
        <v>28.9</v>
      </c>
      <c r="AE36" s="29">
        <f t="shared" si="4"/>
        <v>541.58600000000001</v>
      </c>
      <c r="AF36" s="6"/>
      <c r="AG36" s="6"/>
      <c r="AH36" s="30">
        <v>76.3</v>
      </c>
      <c r="AI36" s="28">
        <f t="shared" si="6"/>
        <v>1429.8619999999999</v>
      </c>
      <c r="AJ36" s="30">
        <v>58.4</v>
      </c>
      <c r="AK36" s="28">
        <f t="shared" si="7"/>
        <v>835.03940799999987</v>
      </c>
      <c r="AL36" s="12">
        <v>34.6</v>
      </c>
      <c r="AM36" s="28">
        <f t="shared" si="8"/>
        <v>288.92363516799998</v>
      </c>
      <c r="AN36" s="12">
        <v>59.5</v>
      </c>
      <c r="AO36" s="28">
        <f t="shared" si="9"/>
        <v>496.84844775999989</v>
      </c>
      <c r="AP36" s="12">
        <v>5</v>
      </c>
      <c r="AQ36" s="28">
        <f t="shared" si="10"/>
        <v>41.75197039999999</v>
      </c>
      <c r="AR36" s="12">
        <v>0.63</v>
      </c>
      <c r="AS36" s="28">
        <f t="shared" si="11"/>
        <v>5.2607482703999997</v>
      </c>
      <c r="AT36" s="12">
        <v>36.5</v>
      </c>
      <c r="AU36" s="28">
        <f t="shared" si="12"/>
        <v>521.89963</v>
      </c>
      <c r="AV36" s="12">
        <v>7.1</v>
      </c>
      <c r="AW36" s="28">
        <f t="shared" si="13"/>
        <v>37.054873729999997</v>
      </c>
      <c r="AX36" s="12">
        <v>38.799999999999997</v>
      </c>
      <c r="AY36" s="28">
        <f t="shared" si="14"/>
        <v>202.49705643999997</v>
      </c>
      <c r="AZ36" s="12">
        <v>11.5</v>
      </c>
      <c r="BA36" s="28">
        <f t="shared" si="15"/>
        <v>60.01845745</v>
      </c>
      <c r="BB36" s="12">
        <v>4.9000000000000004</v>
      </c>
      <c r="BC36" s="28">
        <f t="shared" si="16"/>
        <v>25.573081869999999</v>
      </c>
      <c r="BD36" s="12">
        <v>37.299999999999997</v>
      </c>
      <c r="BE36" s="28">
        <f t="shared" si="17"/>
        <v>194.66856198999997</v>
      </c>
      <c r="BF36" s="12">
        <v>0</v>
      </c>
      <c r="BG36" s="28">
        <f t="shared" si="18"/>
        <v>0</v>
      </c>
      <c r="BH36" s="12">
        <v>0.52</v>
      </c>
      <c r="BI36" s="28">
        <f t="shared" si="19"/>
        <v>7.4352824000000002</v>
      </c>
      <c r="BJ36" s="12">
        <v>4.5999999999999996</v>
      </c>
      <c r="BK36" s="28">
        <f t="shared" si="20"/>
        <v>65.773651999999984</v>
      </c>
      <c r="BL36" s="12">
        <v>8.1</v>
      </c>
      <c r="BM36" s="12"/>
      <c r="BN36" s="28">
        <f t="shared" si="21"/>
        <v>67.638192047999979</v>
      </c>
      <c r="BO36" s="12">
        <v>46.9</v>
      </c>
      <c r="BP36" s="12">
        <v>21</v>
      </c>
      <c r="BQ36" s="12">
        <v>9.6999999999999993</v>
      </c>
      <c r="BR36" s="12">
        <v>21.4</v>
      </c>
      <c r="BS36" s="12">
        <v>11.2</v>
      </c>
      <c r="BT36" s="12">
        <v>27</v>
      </c>
      <c r="BU36" s="12">
        <v>35</v>
      </c>
      <c r="BV36" s="28">
        <f t="shared" si="22"/>
        <v>2922637.9279999994</v>
      </c>
      <c r="BW36" s="12">
        <v>36</v>
      </c>
      <c r="BX36" s="12">
        <v>21.8</v>
      </c>
      <c r="BY36" s="28">
        <f t="shared" si="23"/>
        <v>637135.06830399996</v>
      </c>
      <c r="BZ36" s="12">
        <v>23.7</v>
      </c>
      <c r="CA36" s="28">
        <f t="shared" si="24"/>
        <v>692665.18893599987</v>
      </c>
      <c r="CB36" s="12">
        <v>10.3</v>
      </c>
      <c r="CC36" s="28">
        <f t="shared" si="25"/>
        <v>301031.70658399997</v>
      </c>
      <c r="CD36" s="12">
        <v>6</v>
      </c>
      <c r="CE36" s="28">
        <f t="shared" si="26"/>
        <v>175358.27567999996</v>
      </c>
      <c r="CF36" s="12">
        <v>2.2000000000000002</v>
      </c>
      <c r="CG36" s="28">
        <f t="shared" si="27"/>
        <v>64298.034415999995</v>
      </c>
      <c r="CH36" s="12">
        <v>18</v>
      </c>
      <c r="CI36" s="28">
        <f t="shared" si="28"/>
        <v>150.30709343999996</v>
      </c>
      <c r="CJ36" s="12">
        <v>100</v>
      </c>
      <c r="CK36" s="12">
        <v>0</v>
      </c>
      <c r="CL36" s="28">
        <f t="shared" si="29"/>
        <v>0</v>
      </c>
      <c r="CM36" s="12">
        <v>0</v>
      </c>
      <c r="CN36" s="28">
        <f t="shared" si="30"/>
        <v>0</v>
      </c>
      <c r="CO36" s="12">
        <v>0</v>
      </c>
      <c r="CP36" s="28">
        <f t="shared" si="31"/>
        <v>0</v>
      </c>
      <c r="CQ36" s="12">
        <v>10.4</v>
      </c>
      <c r="CR36" s="28">
        <f t="shared" si="34"/>
        <v>194.89600000000002</v>
      </c>
      <c r="CS36" s="12">
        <v>0</v>
      </c>
      <c r="CT36" s="28">
        <f t="shared" si="35"/>
        <v>0</v>
      </c>
      <c r="CU36" s="27">
        <v>45831</v>
      </c>
      <c r="CV36" s="11">
        <v>1</v>
      </c>
      <c r="CW36" s="11">
        <v>72</v>
      </c>
      <c r="CX36" s="11">
        <v>1</v>
      </c>
      <c r="CY36" s="11">
        <v>1</v>
      </c>
      <c r="CZ36" s="11" t="s">
        <v>93</v>
      </c>
      <c r="DA36" s="11">
        <v>1</v>
      </c>
      <c r="DB36" s="11" t="s">
        <v>155</v>
      </c>
      <c r="DC36" s="11">
        <v>0.16</v>
      </c>
      <c r="DD36" s="11">
        <v>1197</v>
      </c>
      <c r="DE36" s="11">
        <v>851</v>
      </c>
      <c r="DF36" s="11">
        <v>116</v>
      </c>
      <c r="DG36" s="11">
        <v>29618</v>
      </c>
      <c r="DH36" s="11">
        <v>0.04</v>
      </c>
      <c r="DI36" s="11">
        <v>0.71</v>
      </c>
      <c r="DJ36" s="11">
        <v>1191</v>
      </c>
      <c r="DK36" s="11"/>
      <c r="DL36" s="11" t="s">
        <v>96</v>
      </c>
      <c r="DM36" s="11">
        <v>29</v>
      </c>
      <c r="DN36" s="11">
        <v>0.5</v>
      </c>
      <c r="DO36" s="11">
        <v>0.5</v>
      </c>
      <c r="DP36" s="11">
        <v>0.5</v>
      </c>
      <c r="DQ36" s="11">
        <v>0</v>
      </c>
      <c r="DR36" s="11">
        <v>0</v>
      </c>
      <c r="DS36" s="11">
        <v>0</v>
      </c>
      <c r="DT36" s="11">
        <v>0</v>
      </c>
      <c r="DU36" s="11">
        <v>0</v>
      </c>
      <c r="DV36" s="11">
        <v>454</v>
      </c>
      <c r="DW36" s="11">
        <v>86</v>
      </c>
      <c r="DX36" s="11">
        <v>0</v>
      </c>
      <c r="DY36" s="11"/>
      <c r="DZ36" s="11"/>
      <c r="EA36" s="11"/>
      <c r="EB36" s="11">
        <v>1</v>
      </c>
      <c r="EC36" s="6">
        <v>0</v>
      </c>
      <c r="ED36" s="6">
        <v>1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3</v>
      </c>
      <c r="EL36" s="6">
        <v>0</v>
      </c>
      <c r="EM36" s="6">
        <v>0</v>
      </c>
      <c r="EN36" s="6">
        <v>2</v>
      </c>
      <c r="EO36" s="6">
        <v>0</v>
      </c>
      <c r="EP36" s="6">
        <v>1</v>
      </c>
      <c r="EQ36" s="6">
        <v>1</v>
      </c>
      <c r="ER36" s="6">
        <v>0</v>
      </c>
      <c r="ES36" s="6">
        <v>0</v>
      </c>
      <c r="ET36" s="6">
        <v>0</v>
      </c>
      <c r="EU36" s="9" t="s">
        <v>292</v>
      </c>
      <c r="EV36" s="4"/>
      <c r="EW36" s="4"/>
      <c r="EX36" s="4"/>
    </row>
    <row r="37" spans="1:154" s="5" customFormat="1" ht="15.75" customHeight="1">
      <c r="A37" s="12">
        <v>56</v>
      </c>
      <c r="B37" s="12">
        <v>7041514</v>
      </c>
      <c r="C37" s="12" t="s">
        <v>133</v>
      </c>
      <c r="D37" s="12" t="s">
        <v>399</v>
      </c>
      <c r="E37" s="12">
        <v>2812726</v>
      </c>
      <c r="F37" s="12">
        <v>2168457</v>
      </c>
      <c r="G37" s="12">
        <v>5.04</v>
      </c>
      <c r="H37" s="12">
        <v>48.6</v>
      </c>
      <c r="I37" s="12">
        <v>15.6</v>
      </c>
      <c r="J37" s="12">
        <v>327</v>
      </c>
      <c r="K37" s="12">
        <v>3.57</v>
      </c>
      <c r="L37" s="12">
        <v>59.54</v>
      </c>
      <c r="M37" s="12">
        <v>0.53</v>
      </c>
      <c r="N37" s="12">
        <v>8.89</v>
      </c>
      <c r="O37" s="12">
        <v>0.08</v>
      </c>
      <c r="P37" s="12">
        <v>1.25</v>
      </c>
      <c r="Q37" s="12">
        <v>0.06</v>
      </c>
      <c r="R37" s="12">
        <v>0.93</v>
      </c>
      <c r="S37" s="12">
        <v>1.76</v>
      </c>
      <c r="T37" s="12">
        <v>29.39</v>
      </c>
      <c r="U37" s="12">
        <v>2133</v>
      </c>
      <c r="V37" s="12">
        <v>34.700000000000003</v>
      </c>
      <c r="W37" s="28">
        <f t="shared" si="0"/>
        <v>740.15100000000007</v>
      </c>
      <c r="X37" s="12">
        <v>7.4</v>
      </c>
      <c r="Y37" s="28">
        <f t="shared" si="1"/>
        <v>157.84200000000001</v>
      </c>
      <c r="Z37" s="12">
        <v>91.1</v>
      </c>
      <c r="AA37" s="28">
        <f t="shared" si="2"/>
        <v>1943.1629999999998</v>
      </c>
      <c r="AB37" s="12">
        <v>3</v>
      </c>
      <c r="AC37" s="28">
        <f t="shared" si="3"/>
        <v>63.99</v>
      </c>
      <c r="AD37" s="12">
        <v>88.1</v>
      </c>
      <c r="AE37" s="29">
        <f t="shared" si="4"/>
        <v>1879.1729999999998</v>
      </c>
      <c r="AF37" s="6"/>
      <c r="AG37" s="6"/>
      <c r="AH37" s="30">
        <v>40.200000000000003</v>
      </c>
      <c r="AI37" s="28">
        <f t="shared" si="6"/>
        <v>857.46600000000001</v>
      </c>
      <c r="AJ37" s="30">
        <v>65.8</v>
      </c>
      <c r="AK37" s="28">
        <f t="shared" si="7"/>
        <v>564.212628</v>
      </c>
      <c r="AL37" s="12">
        <v>16.5</v>
      </c>
      <c r="AM37" s="28">
        <f t="shared" si="8"/>
        <v>93.095083620000011</v>
      </c>
      <c r="AN37" s="12">
        <v>69.2</v>
      </c>
      <c r="AO37" s="28">
        <f t="shared" si="9"/>
        <v>390.43513857600004</v>
      </c>
      <c r="AP37" s="12">
        <v>11.2</v>
      </c>
      <c r="AQ37" s="28">
        <f t="shared" si="10"/>
        <v>63.191814336</v>
      </c>
      <c r="AR37" s="12">
        <v>3</v>
      </c>
      <c r="AS37" s="28">
        <f t="shared" si="11"/>
        <v>16.926378839999998</v>
      </c>
      <c r="AT37" s="12">
        <v>32.4</v>
      </c>
      <c r="AU37" s="28">
        <f t="shared" si="12"/>
        <v>277.818984</v>
      </c>
      <c r="AV37" s="12">
        <v>6.4</v>
      </c>
      <c r="AW37" s="28">
        <f t="shared" si="13"/>
        <v>17.780414976000003</v>
      </c>
      <c r="AX37" s="12">
        <v>33.700000000000003</v>
      </c>
      <c r="AY37" s="28">
        <f t="shared" si="14"/>
        <v>93.624997608000015</v>
      </c>
      <c r="AZ37" s="12">
        <v>22.3</v>
      </c>
      <c r="BA37" s="28">
        <f t="shared" si="15"/>
        <v>61.953633432000004</v>
      </c>
      <c r="BB37" s="12">
        <v>7.3</v>
      </c>
      <c r="BC37" s="28">
        <f t="shared" si="16"/>
        <v>20.280785831999999</v>
      </c>
      <c r="BD37" s="12">
        <v>29.1</v>
      </c>
      <c r="BE37" s="28">
        <f t="shared" si="17"/>
        <v>80.845324344000005</v>
      </c>
      <c r="BF37" s="12">
        <v>0.11</v>
      </c>
      <c r="BG37" s="28">
        <f t="shared" si="18"/>
        <v>0.94321259999999996</v>
      </c>
      <c r="BH37" s="12">
        <v>0.39</v>
      </c>
      <c r="BI37" s="28">
        <f t="shared" si="19"/>
        <v>3.3441174</v>
      </c>
      <c r="BJ37" s="12">
        <v>1.3</v>
      </c>
      <c r="BK37" s="28">
        <f t="shared" si="20"/>
        <v>11.147057999999999</v>
      </c>
      <c r="BL37" s="12">
        <v>7.7</v>
      </c>
      <c r="BM37" s="12"/>
      <c r="BN37" s="28">
        <f t="shared" si="21"/>
        <v>43.444372356000002</v>
      </c>
      <c r="BO37" s="12">
        <v>59.8</v>
      </c>
      <c r="BP37" s="12">
        <v>21.8</v>
      </c>
      <c r="BQ37" s="12">
        <v>12.2</v>
      </c>
      <c r="BR37" s="12">
        <v>31.1</v>
      </c>
      <c r="BS37" s="12">
        <v>16.600000000000001</v>
      </c>
      <c r="BT37" s="12">
        <v>10.6</v>
      </c>
      <c r="BU37" s="12">
        <v>61.2</v>
      </c>
      <c r="BV37" s="28">
        <f t="shared" si="22"/>
        <v>3452981.2833600002</v>
      </c>
      <c r="BW37" s="12">
        <v>17.7</v>
      </c>
      <c r="BX37" s="12">
        <v>36.5</v>
      </c>
      <c r="BY37" s="28">
        <f t="shared" si="23"/>
        <v>1260338.1684264001</v>
      </c>
      <c r="BZ37" s="12">
        <v>14.5</v>
      </c>
      <c r="CA37" s="28">
        <f t="shared" si="24"/>
        <v>500682.28608720005</v>
      </c>
      <c r="CB37" s="12">
        <v>12.3</v>
      </c>
      <c r="CC37" s="28">
        <f t="shared" si="25"/>
        <v>424716.69785328006</v>
      </c>
      <c r="CD37" s="12">
        <v>13.3</v>
      </c>
      <c r="CE37" s="28">
        <f t="shared" si="26"/>
        <v>459246.51068688004</v>
      </c>
      <c r="CF37" s="12">
        <v>5.7</v>
      </c>
      <c r="CG37" s="28">
        <f t="shared" si="27"/>
        <v>196819.93315152</v>
      </c>
      <c r="CH37" s="12">
        <v>11.4</v>
      </c>
      <c r="CI37" s="28">
        <f t="shared" si="28"/>
        <v>64.320239591999993</v>
      </c>
      <c r="CJ37" s="12">
        <v>9.5</v>
      </c>
      <c r="CK37" s="12">
        <v>19.7</v>
      </c>
      <c r="CL37" s="28">
        <f t="shared" si="29"/>
        <v>126710.87199623999</v>
      </c>
      <c r="CM37" s="12">
        <v>20.100000000000001</v>
      </c>
      <c r="CN37" s="28">
        <f t="shared" si="30"/>
        <v>12.928368157991999</v>
      </c>
      <c r="CO37" s="12">
        <v>50.7</v>
      </c>
      <c r="CP37" s="28">
        <f t="shared" si="31"/>
        <v>32.610361473143996</v>
      </c>
      <c r="CQ37" s="12">
        <v>16.5</v>
      </c>
      <c r="CR37" s="28">
        <f t="shared" si="34"/>
        <v>351.94499999999999</v>
      </c>
      <c r="CS37" s="12">
        <v>0.62</v>
      </c>
      <c r="CT37" s="28">
        <f t="shared" si="35"/>
        <v>13.224600000000001</v>
      </c>
      <c r="CU37" s="27">
        <v>45953</v>
      </c>
      <c r="CV37" s="11">
        <v>0</v>
      </c>
      <c r="CW37" s="11">
        <v>61</v>
      </c>
      <c r="CX37" s="11">
        <v>3</v>
      </c>
      <c r="CY37" s="11">
        <v>2</v>
      </c>
      <c r="CZ37" s="11" t="s">
        <v>283</v>
      </c>
      <c r="DA37" s="11">
        <v>0</v>
      </c>
      <c r="DB37" s="11" t="s">
        <v>293</v>
      </c>
      <c r="DC37" s="11">
        <v>0.1</v>
      </c>
      <c r="DD37" s="11">
        <v>840</v>
      </c>
      <c r="DE37" s="11">
        <v>329</v>
      </c>
      <c r="DF37" s="11">
        <v>42</v>
      </c>
      <c r="DG37" s="11">
        <v>9213</v>
      </c>
      <c r="DH37" s="11">
        <v>9.0999999999999998E-2</v>
      </c>
      <c r="DI37" s="11">
        <v>0.39</v>
      </c>
      <c r="DJ37" s="11">
        <v>2206</v>
      </c>
      <c r="DK37" s="11">
        <v>26.48</v>
      </c>
      <c r="DL37" s="11" t="s">
        <v>95</v>
      </c>
      <c r="DM37" s="11">
        <v>27</v>
      </c>
      <c r="DN37" s="11">
        <v>1.5</v>
      </c>
      <c r="DO37" s="11">
        <v>0.5</v>
      </c>
      <c r="DP37" s="11">
        <v>0.5</v>
      </c>
      <c r="DQ37" s="11">
        <v>0</v>
      </c>
      <c r="DR37" s="11">
        <v>0.5</v>
      </c>
      <c r="DS37" s="11">
        <v>0.5</v>
      </c>
      <c r="DT37" s="11">
        <v>0</v>
      </c>
      <c r="DU37" s="11">
        <v>0</v>
      </c>
      <c r="DV37" s="11">
        <v>337</v>
      </c>
      <c r="DW37" s="11">
        <v>59</v>
      </c>
      <c r="DX37" s="11">
        <v>0</v>
      </c>
      <c r="DY37" s="11"/>
      <c r="DZ37" s="11"/>
      <c r="EA37" s="11"/>
      <c r="EB37" s="11">
        <v>1</v>
      </c>
      <c r="EC37" s="6">
        <v>1</v>
      </c>
      <c r="ED37" s="6">
        <v>1</v>
      </c>
      <c r="EE37" s="6">
        <v>0</v>
      </c>
      <c r="EF37" s="6">
        <v>0</v>
      </c>
      <c r="EG37" s="6">
        <v>0</v>
      </c>
      <c r="EH37" s="6">
        <v>1</v>
      </c>
      <c r="EI37" s="6">
        <v>0</v>
      </c>
      <c r="EJ37" s="6">
        <v>0</v>
      </c>
      <c r="EK37" s="6">
        <v>1</v>
      </c>
      <c r="EL37" s="6">
        <v>1</v>
      </c>
      <c r="EM37" s="6">
        <v>1</v>
      </c>
      <c r="EN37" s="6">
        <v>1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10" t="s">
        <v>294</v>
      </c>
      <c r="EV37" s="4"/>
      <c r="EW37" s="4"/>
      <c r="EX37" s="4"/>
    </row>
    <row r="38" spans="1:154" s="5" customFormat="1" ht="15.75" customHeight="1">
      <c r="A38" s="12">
        <v>78</v>
      </c>
      <c r="B38" s="12">
        <v>7042610</v>
      </c>
      <c r="C38" s="12" t="s">
        <v>134</v>
      </c>
      <c r="D38" s="12" t="s">
        <v>135</v>
      </c>
      <c r="E38" s="12">
        <v>2033464</v>
      </c>
      <c r="F38" s="12">
        <v>2183176</v>
      </c>
      <c r="G38" s="12">
        <v>4.21</v>
      </c>
      <c r="H38" s="12">
        <v>38.299999999999997</v>
      </c>
      <c r="I38" s="12">
        <v>12.3</v>
      </c>
      <c r="J38" s="12">
        <v>275</v>
      </c>
      <c r="K38" s="12">
        <v>5.68</v>
      </c>
      <c r="L38" s="12">
        <v>67.39</v>
      </c>
      <c r="M38" s="12">
        <v>0.61</v>
      </c>
      <c r="N38" s="12">
        <v>7.26</v>
      </c>
      <c r="O38" s="12">
        <v>0.18</v>
      </c>
      <c r="P38" s="12">
        <v>2.15</v>
      </c>
      <c r="Q38" s="12">
        <v>0.08</v>
      </c>
      <c r="R38" s="12">
        <v>0.95</v>
      </c>
      <c r="S38" s="12">
        <v>1.87</v>
      </c>
      <c r="T38" s="12">
        <v>22.25</v>
      </c>
      <c r="U38" s="12">
        <v>2140</v>
      </c>
      <c r="V38" s="12">
        <v>3.5</v>
      </c>
      <c r="W38" s="28">
        <f t="shared" si="0"/>
        <v>74.900000000000006</v>
      </c>
      <c r="X38" s="12">
        <v>59.1</v>
      </c>
      <c r="Y38" s="28">
        <f t="shared" si="1"/>
        <v>1264.74</v>
      </c>
      <c r="Z38" s="12">
        <v>35.299999999999997</v>
      </c>
      <c r="AA38" s="28">
        <f t="shared" si="2"/>
        <v>755.42</v>
      </c>
      <c r="AB38" s="12">
        <v>11.7</v>
      </c>
      <c r="AC38" s="28">
        <f t="shared" si="3"/>
        <v>250.38</v>
      </c>
      <c r="AD38" s="12">
        <v>23.6</v>
      </c>
      <c r="AE38" s="29">
        <f t="shared" si="4"/>
        <v>505.04</v>
      </c>
      <c r="AF38" s="6"/>
      <c r="AG38" s="6"/>
      <c r="AH38" s="30">
        <v>78.7</v>
      </c>
      <c r="AI38" s="28">
        <f t="shared" si="6"/>
        <v>1684.18</v>
      </c>
      <c r="AJ38" s="30">
        <v>59.7</v>
      </c>
      <c r="AK38" s="28">
        <f t="shared" si="7"/>
        <v>1005.45546</v>
      </c>
      <c r="AL38" s="12">
        <v>31.9</v>
      </c>
      <c r="AM38" s="28">
        <f t="shared" si="8"/>
        <v>320.74029173999998</v>
      </c>
      <c r="AN38" s="12">
        <v>53.2</v>
      </c>
      <c r="AO38" s="28">
        <f t="shared" si="9"/>
        <v>534.90230472000007</v>
      </c>
      <c r="AP38" s="12">
        <v>13.7</v>
      </c>
      <c r="AQ38" s="28">
        <f t="shared" si="10"/>
        <v>137.74739801999999</v>
      </c>
      <c r="AR38" s="12">
        <v>1</v>
      </c>
      <c r="AS38" s="28">
        <f t="shared" si="11"/>
        <v>10.054554599999999</v>
      </c>
      <c r="AT38" s="12">
        <v>35.299999999999997</v>
      </c>
      <c r="AU38" s="28">
        <f t="shared" si="12"/>
        <v>594.51553999999999</v>
      </c>
      <c r="AV38" s="12">
        <v>9.8000000000000007</v>
      </c>
      <c r="AW38" s="28">
        <f t="shared" si="13"/>
        <v>58.262522920000002</v>
      </c>
      <c r="AX38" s="12">
        <v>44.2</v>
      </c>
      <c r="AY38" s="28">
        <f t="shared" si="14"/>
        <v>262.77586868000003</v>
      </c>
      <c r="AZ38" s="12">
        <v>6.5</v>
      </c>
      <c r="BA38" s="28">
        <f t="shared" si="15"/>
        <v>38.6435101</v>
      </c>
      <c r="BB38" s="12">
        <v>8.4</v>
      </c>
      <c r="BC38" s="28">
        <f t="shared" si="16"/>
        <v>49.939305359999999</v>
      </c>
      <c r="BD38" s="12">
        <v>29.1</v>
      </c>
      <c r="BE38" s="28">
        <f t="shared" si="17"/>
        <v>173.00402214000002</v>
      </c>
      <c r="BF38" s="12">
        <v>0.13</v>
      </c>
      <c r="BG38" s="28">
        <f t="shared" si="18"/>
        <v>2.1894340000000003</v>
      </c>
      <c r="BH38" s="12">
        <v>1.4</v>
      </c>
      <c r="BI38" s="28">
        <f t="shared" si="19"/>
        <v>23.578519999999997</v>
      </c>
      <c r="BJ38" s="12">
        <v>3.4</v>
      </c>
      <c r="BK38" s="28">
        <f t="shared" si="20"/>
        <v>57.262120000000003</v>
      </c>
      <c r="BL38" s="12"/>
      <c r="BM38" s="12"/>
      <c r="BN38" s="28"/>
      <c r="BO38" s="12"/>
      <c r="BP38" s="12"/>
      <c r="BQ38" s="12"/>
      <c r="BR38" s="12"/>
      <c r="BS38" s="12"/>
      <c r="BT38" s="12"/>
      <c r="BU38" s="12"/>
      <c r="BV38" s="28"/>
      <c r="BW38" s="12"/>
      <c r="BX38" s="12"/>
      <c r="BY38" s="28"/>
      <c r="BZ38" s="12"/>
      <c r="CA38" s="28"/>
      <c r="CB38" s="12"/>
      <c r="CC38" s="28"/>
      <c r="CD38" s="12"/>
      <c r="CE38" s="28"/>
      <c r="CF38" s="12"/>
      <c r="CG38" s="28"/>
      <c r="CH38" s="12"/>
      <c r="CI38" s="12"/>
      <c r="CJ38" s="12"/>
      <c r="CK38" s="12"/>
      <c r="CL38" s="12"/>
      <c r="CM38" s="12"/>
      <c r="CN38" s="12"/>
      <c r="CO38" s="12"/>
      <c r="CP38" s="12"/>
      <c r="CQ38" s="12">
        <v>10.5</v>
      </c>
      <c r="CR38" s="28">
        <f t="shared" si="34"/>
        <v>224.7</v>
      </c>
      <c r="CS38" s="12">
        <v>3.3</v>
      </c>
      <c r="CT38" s="28">
        <f t="shared" si="35"/>
        <v>70.62</v>
      </c>
      <c r="CU38" s="27">
        <v>46009</v>
      </c>
      <c r="CV38" s="11">
        <v>1</v>
      </c>
      <c r="CW38" s="11">
        <v>73</v>
      </c>
      <c r="CX38" s="11">
        <v>0</v>
      </c>
      <c r="CY38" s="11">
        <v>0</v>
      </c>
      <c r="CZ38" s="11" t="s">
        <v>263</v>
      </c>
      <c r="DA38" s="11">
        <v>0</v>
      </c>
      <c r="DB38" s="11" t="s">
        <v>295</v>
      </c>
      <c r="DC38" s="11">
        <v>0.15</v>
      </c>
      <c r="DD38" s="11">
        <v>313</v>
      </c>
      <c r="DE38" s="11">
        <v>37</v>
      </c>
      <c r="DF38" s="11">
        <v>6</v>
      </c>
      <c r="DG38" s="11">
        <v>3802</v>
      </c>
      <c r="DH38" s="11">
        <v>8.2000000000000003E-2</v>
      </c>
      <c r="DI38" s="11">
        <v>0.12</v>
      </c>
      <c r="DJ38" s="11">
        <v>193</v>
      </c>
      <c r="DK38" s="11">
        <v>29.8</v>
      </c>
      <c r="DL38" s="11" t="s">
        <v>95</v>
      </c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1</v>
      </c>
      <c r="EJ38" s="6">
        <v>1</v>
      </c>
      <c r="EK38" s="6"/>
      <c r="EL38" s="6">
        <v>1</v>
      </c>
      <c r="EM38" s="6">
        <v>0</v>
      </c>
      <c r="EN38" s="6"/>
      <c r="EO38" s="6">
        <v>1</v>
      </c>
      <c r="EP38" s="6">
        <v>1</v>
      </c>
      <c r="EQ38" s="6">
        <v>0</v>
      </c>
      <c r="ER38" s="6">
        <v>0</v>
      </c>
      <c r="ES38" s="6">
        <v>0</v>
      </c>
      <c r="ET38" s="6">
        <v>1</v>
      </c>
      <c r="EU38" s="10" t="s">
        <v>296</v>
      </c>
      <c r="EV38" s="4"/>
      <c r="EW38" s="4"/>
      <c r="EX38" s="4"/>
    </row>
    <row r="39" spans="1:154" s="5" customFormat="1" ht="15.75" customHeight="1">
      <c r="A39" s="12">
        <v>45</v>
      </c>
      <c r="B39" s="12">
        <v>7040837</v>
      </c>
      <c r="C39" s="12" t="s">
        <v>136</v>
      </c>
      <c r="D39" s="12" t="s">
        <v>137</v>
      </c>
      <c r="E39" s="12">
        <v>3131323</v>
      </c>
      <c r="F39" s="12">
        <v>2309999</v>
      </c>
      <c r="G39" s="12">
        <v>4.6500000000000004</v>
      </c>
      <c r="H39" s="12">
        <v>44.2</v>
      </c>
      <c r="I39" s="12">
        <v>14.8</v>
      </c>
      <c r="J39" s="12">
        <v>231</v>
      </c>
      <c r="K39" s="12">
        <v>3.25</v>
      </c>
      <c r="L39" s="12">
        <v>53.84</v>
      </c>
      <c r="M39" s="12">
        <v>0.56999999999999995</v>
      </c>
      <c r="N39" s="12">
        <v>9.49</v>
      </c>
      <c r="O39" s="12">
        <v>0.12</v>
      </c>
      <c r="P39" s="12">
        <v>2.02</v>
      </c>
      <c r="Q39" s="12">
        <v>0.04</v>
      </c>
      <c r="R39" s="12">
        <v>0.64</v>
      </c>
      <c r="S39" s="12">
        <v>2.0499999999999998</v>
      </c>
      <c r="T39" s="12">
        <v>34.01</v>
      </c>
      <c r="U39" s="12">
        <v>2622</v>
      </c>
      <c r="V39" s="12">
        <v>10</v>
      </c>
      <c r="W39" s="28">
        <f t="shared" si="0"/>
        <v>262.2</v>
      </c>
      <c r="X39" s="12">
        <v>58.9</v>
      </c>
      <c r="Y39" s="28">
        <f t="shared" si="1"/>
        <v>1544.3579999999999</v>
      </c>
      <c r="Z39" s="12">
        <v>36.700000000000003</v>
      </c>
      <c r="AA39" s="28">
        <f t="shared" si="2"/>
        <v>962.27400000000011</v>
      </c>
      <c r="AB39" s="12">
        <v>20.9</v>
      </c>
      <c r="AC39" s="28">
        <f t="shared" si="3"/>
        <v>547.99799999999993</v>
      </c>
      <c r="AD39" s="12">
        <v>15.2</v>
      </c>
      <c r="AE39" s="29">
        <f t="shared" si="4"/>
        <v>398.54400000000004</v>
      </c>
      <c r="AF39" s="30">
        <v>0.59</v>
      </c>
      <c r="AG39" s="29">
        <f t="shared" si="5"/>
        <v>15.469799999999999</v>
      </c>
      <c r="AH39" s="30">
        <v>74.599999999999994</v>
      </c>
      <c r="AI39" s="28">
        <f t="shared" si="6"/>
        <v>1956.0119999999997</v>
      </c>
      <c r="AJ39" s="30">
        <v>51.7</v>
      </c>
      <c r="AK39" s="28">
        <f t="shared" si="7"/>
        <v>1011.258204</v>
      </c>
      <c r="AL39" s="12">
        <v>24.3</v>
      </c>
      <c r="AM39" s="28">
        <f t="shared" si="8"/>
        <v>245.73574357199999</v>
      </c>
      <c r="AN39" s="12">
        <v>68.599999999999994</v>
      </c>
      <c r="AO39" s="28">
        <f t="shared" si="9"/>
        <v>693.72312794399988</v>
      </c>
      <c r="AP39" s="12">
        <v>7</v>
      </c>
      <c r="AQ39" s="28">
        <f t="shared" si="10"/>
        <v>70.788074280000004</v>
      </c>
      <c r="AR39" s="12">
        <v>4.7E-2</v>
      </c>
      <c r="AS39" s="28">
        <f t="shared" si="11"/>
        <v>0.47529135588000004</v>
      </c>
      <c r="AT39" s="12">
        <v>33</v>
      </c>
      <c r="AU39" s="28">
        <f t="shared" si="12"/>
        <v>645.48395999999991</v>
      </c>
      <c r="AV39" s="12">
        <v>4.5</v>
      </c>
      <c r="AW39" s="28">
        <f t="shared" si="13"/>
        <v>29.046778199999995</v>
      </c>
      <c r="AX39" s="12">
        <v>29.1</v>
      </c>
      <c r="AY39" s="28">
        <f t="shared" si="14"/>
        <v>187.83583235999998</v>
      </c>
      <c r="AZ39" s="12">
        <v>30.7</v>
      </c>
      <c r="BA39" s="28">
        <f t="shared" si="15"/>
        <v>198.16357571999998</v>
      </c>
      <c r="BB39" s="12">
        <v>4.7</v>
      </c>
      <c r="BC39" s="28">
        <f t="shared" si="16"/>
        <v>30.337746119999998</v>
      </c>
      <c r="BD39" s="12">
        <v>29.9</v>
      </c>
      <c r="BE39" s="28">
        <f t="shared" si="17"/>
        <v>192.99970403999995</v>
      </c>
      <c r="BF39" s="12">
        <v>0.22</v>
      </c>
      <c r="BG39" s="28">
        <f t="shared" si="18"/>
        <v>4.3032263999999989</v>
      </c>
      <c r="BH39" s="12">
        <v>0.57999999999999996</v>
      </c>
      <c r="BI39" s="28">
        <f t="shared" si="19"/>
        <v>11.344869599999997</v>
      </c>
      <c r="BJ39" s="12">
        <v>14.5</v>
      </c>
      <c r="BK39" s="28">
        <f t="shared" si="20"/>
        <v>283.62173999999993</v>
      </c>
      <c r="BL39" s="12">
        <v>7.8</v>
      </c>
      <c r="BM39" s="12"/>
      <c r="BN39" s="28">
        <f t="shared" si="21"/>
        <v>78.878139911999995</v>
      </c>
      <c r="BO39" s="12">
        <v>52.9</v>
      </c>
      <c r="BP39" s="12">
        <v>17.3</v>
      </c>
      <c r="BQ39" s="12">
        <v>13.2</v>
      </c>
      <c r="BR39" s="12">
        <v>35.4</v>
      </c>
      <c r="BS39" s="12">
        <v>14.2</v>
      </c>
      <c r="BT39" s="12">
        <v>12.6</v>
      </c>
      <c r="BU39" s="12">
        <v>50.2</v>
      </c>
      <c r="BV39" s="28">
        <f t="shared" si="22"/>
        <v>5076516.18408</v>
      </c>
      <c r="BW39" s="12">
        <v>23.9</v>
      </c>
      <c r="BX39" s="12">
        <v>18.2</v>
      </c>
      <c r="BY39" s="28">
        <f t="shared" si="23"/>
        <v>923925.94550256</v>
      </c>
      <c r="BZ39" s="12">
        <v>12.6</v>
      </c>
      <c r="CA39" s="28">
        <f t="shared" si="24"/>
        <v>639641.03919408005</v>
      </c>
      <c r="CB39" s="12">
        <v>31.4</v>
      </c>
      <c r="CC39" s="28">
        <f t="shared" si="25"/>
        <v>1594026.08180112</v>
      </c>
      <c r="CD39" s="12">
        <v>9.6</v>
      </c>
      <c r="CE39" s="28">
        <f t="shared" si="26"/>
        <v>487345.55367168004</v>
      </c>
      <c r="CF39" s="12">
        <v>4.3</v>
      </c>
      <c r="CG39" s="28">
        <f t="shared" si="27"/>
        <v>218290.19591543998</v>
      </c>
      <c r="CH39" s="12">
        <v>16.3</v>
      </c>
      <c r="CI39" s="28">
        <f t="shared" si="28"/>
        <v>164.83508725200002</v>
      </c>
      <c r="CJ39" s="12">
        <v>13.3</v>
      </c>
      <c r="CK39" s="12">
        <v>27</v>
      </c>
      <c r="CL39" s="28">
        <f t="shared" si="29"/>
        <v>445054.73558040004</v>
      </c>
      <c r="CM39" s="12">
        <v>17.100000000000001</v>
      </c>
      <c r="CN39" s="28">
        <f t="shared" si="30"/>
        <v>28.186799920092007</v>
      </c>
      <c r="CO39" s="12">
        <v>42.6</v>
      </c>
      <c r="CP39" s="28">
        <f t="shared" si="31"/>
        <v>70.219747169352019</v>
      </c>
      <c r="CQ39" s="12">
        <v>11.1</v>
      </c>
      <c r="CR39" s="28">
        <f t="shared" si="34"/>
        <v>291.04200000000003</v>
      </c>
      <c r="CS39" s="12">
        <v>0.28000000000000003</v>
      </c>
      <c r="CT39" s="28">
        <f t="shared" si="35"/>
        <v>7.3416000000000006</v>
      </c>
      <c r="CU39" s="27">
        <v>45918</v>
      </c>
      <c r="CV39" s="11">
        <v>0</v>
      </c>
      <c r="CW39" s="11">
        <v>73</v>
      </c>
      <c r="CX39" s="40">
        <v>0</v>
      </c>
      <c r="CY39" s="40">
        <v>0</v>
      </c>
      <c r="CZ39" s="40" t="s">
        <v>263</v>
      </c>
      <c r="DA39" s="40">
        <v>0</v>
      </c>
      <c r="DB39" s="40" t="s">
        <v>297</v>
      </c>
      <c r="DC39" s="11">
        <v>0.17</v>
      </c>
      <c r="DD39" s="11">
        <v>414</v>
      </c>
      <c r="DE39" s="11">
        <v>155</v>
      </c>
      <c r="DF39" s="11">
        <v>22</v>
      </c>
      <c r="DG39" s="11">
        <v>5180</v>
      </c>
      <c r="DH39" s="11">
        <v>0.08</v>
      </c>
      <c r="DI39" s="11">
        <v>0.37</v>
      </c>
      <c r="DJ39" s="11">
        <v>792</v>
      </c>
      <c r="DK39" s="11">
        <v>13.94</v>
      </c>
      <c r="DL39" s="11" t="s">
        <v>96</v>
      </c>
      <c r="DM39" s="11">
        <v>29</v>
      </c>
      <c r="DN39" s="11">
        <v>2.5</v>
      </c>
      <c r="DO39" s="11">
        <v>0.5</v>
      </c>
      <c r="DP39" s="11">
        <v>0.5</v>
      </c>
      <c r="DQ39" s="11">
        <v>0.5</v>
      </c>
      <c r="DR39" s="11">
        <v>0.5</v>
      </c>
      <c r="DS39" s="11">
        <v>0.5</v>
      </c>
      <c r="DT39" s="11">
        <v>0.5</v>
      </c>
      <c r="DU39" s="11">
        <v>0</v>
      </c>
      <c r="DV39" s="11">
        <v>473</v>
      </c>
      <c r="DW39" s="11">
        <v>92</v>
      </c>
      <c r="DX39" s="11"/>
      <c r="DY39" s="11"/>
      <c r="DZ39" s="11"/>
      <c r="EA39" s="11"/>
      <c r="EB39" s="11">
        <v>0</v>
      </c>
      <c r="EC39" s="6">
        <v>1</v>
      </c>
      <c r="ED39" s="6">
        <v>1</v>
      </c>
      <c r="EE39" s="6">
        <v>0</v>
      </c>
      <c r="EF39" s="6">
        <v>0</v>
      </c>
      <c r="EG39" s="6">
        <v>0</v>
      </c>
      <c r="EH39" s="6">
        <v>1</v>
      </c>
      <c r="EI39" s="6">
        <v>0</v>
      </c>
      <c r="EJ39" s="6">
        <v>0</v>
      </c>
      <c r="EK39" s="6">
        <v>2</v>
      </c>
      <c r="EL39" s="6">
        <v>1</v>
      </c>
      <c r="EM39" s="6">
        <v>0</v>
      </c>
      <c r="EN39" s="6">
        <v>1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11"/>
      <c r="EV39" s="4"/>
      <c r="EW39" s="4"/>
      <c r="EX39" s="4"/>
    </row>
    <row r="40" spans="1:154" s="5" customFormat="1" ht="15.75" customHeight="1">
      <c r="A40" s="12">
        <v>3</v>
      </c>
      <c r="B40" s="12">
        <v>7039180</v>
      </c>
      <c r="C40" s="12" t="s">
        <v>112</v>
      </c>
      <c r="D40" s="12" t="s">
        <v>138</v>
      </c>
      <c r="E40" s="12">
        <v>3369699</v>
      </c>
      <c r="F40" s="12">
        <v>2329511</v>
      </c>
      <c r="G40" s="6">
        <v>4.59</v>
      </c>
      <c r="H40" s="6">
        <v>42.1</v>
      </c>
      <c r="I40" s="6">
        <v>14</v>
      </c>
      <c r="J40" s="6">
        <v>217</v>
      </c>
      <c r="K40" s="6">
        <v>2.87</v>
      </c>
      <c r="L40" s="6">
        <v>67.45</v>
      </c>
      <c r="M40" s="12">
        <v>0.37</v>
      </c>
      <c r="N40" s="6">
        <v>8.57</v>
      </c>
      <c r="O40" s="6">
        <v>0.13</v>
      </c>
      <c r="P40" s="12">
        <v>2.94</v>
      </c>
      <c r="Q40" s="6">
        <v>0.03</v>
      </c>
      <c r="R40" s="12">
        <v>0.76</v>
      </c>
      <c r="S40" s="12">
        <v>0.86</v>
      </c>
      <c r="T40" s="12">
        <v>20.28</v>
      </c>
      <c r="U40" s="6">
        <v>950</v>
      </c>
      <c r="V40" s="12">
        <v>8.3000000000000007</v>
      </c>
      <c r="W40" s="28">
        <f t="shared" si="0"/>
        <v>78.850000000000009</v>
      </c>
      <c r="X40" s="12">
        <v>60.3</v>
      </c>
      <c r="Y40" s="28">
        <f t="shared" si="1"/>
        <v>572.85</v>
      </c>
      <c r="Z40" s="12">
        <v>32.9</v>
      </c>
      <c r="AA40" s="28">
        <f t="shared" si="2"/>
        <v>312.55</v>
      </c>
      <c r="AB40" s="12">
        <v>11.8</v>
      </c>
      <c r="AC40" s="28">
        <f t="shared" si="3"/>
        <v>112.1</v>
      </c>
      <c r="AD40" s="12">
        <v>21.1</v>
      </c>
      <c r="AE40" s="29">
        <f t="shared" si="4"/>
        <v>200.45</v>
      </c>
      <c r="AF40" s="6"/>
      <c r="AG40" s="6"/>
      <c r="AH40" s="30">
        <v>58.1</v>
      </c>
      <c r="AI40" s="28">
        <f t="shared" si="6"/>
        <v>551.95000000000005</v>
      </c>
      <c r="AJ40" s="30">
        <v>64.3</v>
      </c>
      <c r="AK40" s="28">
        <f t="shared" si="7"/>
        <v>354.90385000000003</v>
      </c>
      <c r="AL40" s="12">
        <v>36.1</v>
      </c>
      <c r="AM40" s="28">
        <f t="shared" si="8"/>
        <v>128.12028985000001</v>
      </c>
      <c r="AN40" s="12">
        <v>53.2</v>
      </c>
      <c r="AO40" s="28">
        <f t="shared" si="9"/>
        <v>188.80884820000003</v>
      </c>
      <c r="AP40" s="12">
        <v>8.4</v>
      </c>
      <c r="AQ40" s="28">
        <f t="shared" si="10"/>
        <v>29.811923400000005</v>
      </c>
      <c r="AR40" s="12">
        <v>1.2</v>
      </c>
      <c r="AS40" s="28">
        <f t="shared" si="11"/>
        <v>4.2588462000000007</v>
      </c>
      <c r="AT40" s="12">
        <v>26</v>
      </c>
      <c r="AU40" s="28">
        <f t="shared" si="12"/>
        <v>143.50700000000001</v>
      </c>
      <c r="AV40" s="12">
        <v>25.6</v>
      </c>
      <c r="AW40" s="28">
        <f t="shared" si="13"/>
        <v>36.737792000000006</v>
      </c>
      <c r="AX40" s="12">
        <v>60.8</v>
      </c>
      <c r="AY40" s="28">
        <f t="shared" si="14"/>
        <v>87.252256000000003</v>
      </c>
      <c r="AZ40" s="12">
        <v>5.0599999999999996</v>
      </c>
      <c r="BA40" s="28">
        <f t="shared" si="15"/>
        <v>7.2614541999999993</v>
      </c>
      <c r="BB40" s="12">
        <v>1.8</v>
      </c>
      <c r="BC40" s="28">
        <f t="shared" si="16"/>
        <v>2.5831260000000005</v>
      </c>
      <c r="BD40" s="12">
        <v>4.5999999999999996</v>
      </c>
      <c r="BE40" s="28">
        <f t="shared" si="17"/>
        <v>6.6013219999999997</v>
      </c>
      <c r="BF40" s="12">
        <v>1.2</v>
      </c>
      <c r="BG40" s="28">
        <f t="shared" si="18"/>
        <v>6.6234000000000002</v>
      </c>
      <c r="BH40" s="12">
        <v>1.4</v>
      </c>
      <c r="BI40" s="28">
        <f t="shared" si="19"/>
        <v>7.7273000000000005</v>
      </c>
      <c r="BJ40" s="12">
        <v>7.1</v>
      </c>
      <c r="BK40" s="28">
        <f t="shared" si="20"/>
        <v>39.188450000000003</v>
      </c>
      <c r="BL40" s="12">
        <v>9.9</v>
      </c>
      <c r="BM40" s="12"/>
      <c r="BN40" s="28">
        <f t="shared" si="21"/>
        <v>35.135481150000004</v>
      </c>
      <c r="BO40" s="12">
        <v>69.8</v>
      </c>
      <c r="BP40" s="12">
        <v>20.7</v>
      </c>
      <c r="BQ40" s="12">
        <v>17</v>
      </c>
      <c r="BR40" s="12">
        <v>24.3</v>
      </c>
      <c r="BS40" s="12">
        <v>21</v>
      </c>
      <c r="BT40" s="12">
        <v>13.9</v>
      </c>
      <c r="BU40" s="12">
        <v>53.7</v>
      </c>
      <c r="BV40" s="28">
        <f t="shared" si="22"/>
        <v>1905833.6745000004</v>
      </c>
      <c r="BW40" s="12">
        <v>32.9</v>
      </c>
      <c r="BX40" s="12">
        <v>30.9</v>
      </c>
      <c r="BY40" s="28">
        <f t="shared" si="23"/>
        <v>588902.60542050016</v>
      </c>
      <c r="BZ40" s="12">
        <v>8.3000000000000007</v>
      </c>
      <c r="CA40" s="28">
        <f t="shared" si="24"/>
        <v>158184.19498350006</v>
      </c>
      <c r="CB40" s="12">
        <v>0</v>
      </c>
      <c r="CC40" s="28">
        <f t="shared" si="25"/>
        <v>0</v>
      </c>
      <c r="CD40" s="12">
        <v>9.8000000000000007</v>
      </c>
      <c r="CE40" s="28">
        <f t="shared" si="26"/>
        <v>186771.70010100008</v>
      </c>
      <c r="CF40" s="12">
        <v>18.100000000000001</v>
      </c>
      <c r="CG40" s="28">
        <f t="shared" si="27"/>
        <v>344955.89508450008</v>
      </c>
      <c r="CH40" s="12">
        <v>8.4</v>
      </c>
      <c r="CI40" s="28">
        <f t="shared" si="28"/>
        <v>29.811923400000005</v>
      </c>
      <c r="CJ40" s="12">
        <v>15.9</v>
      </c>
      <c r="CK40" s="12">
        <v>37</v>
      </c>
      <c r="CL40" s="28">
        <f t="shared" si="29"/>
        <v>110304.11658000003</v>
      </c>
      <c r="CM40" s="12">
        <v>20.7</v>
      </c>
      <c r="CN40" s="28">
        <f t="shared" si="30"/>
        <v>6.1710681438000003</v>
      </c>
      <c r="CO40" s="12">
        <v>26.4</v>
      </c>
      <c r="CP40" s="28">
        <f t="shared" si="31"/>
        <v>7.870347777600001</v>
      </c>
      <c r="CQ40" s="12">
        <v>28.2</v>
      </c>
      <c r="CR40" s="28">
        <f t="shared" si="34"/>
        <v>267.89999999999998</v>
      </c>
      <c r="CS40" s="12">
        <v>0</v>
      </c>
      <c r="CT40" s="28">
        <f t="shared" si="35"/>
        <v>0</v>
      </c>
      <c r="CU40" s="27">
        <v>45822</v>
      </c>
      <c r="CV40" s="11">
        <v>1</v>
      </c>
      <c r="CW40" s="11">
        <v>67</v>
      </c>
      <c r="CX40" s="11">
        <v>0</v>
      </c>
      <c r="CY40" s="11">
        <v>0</v>
      </c>
      <c r="CZ40" s="11" t="s">
        <v>263</v>
      </c>
      <c r="DA40" s="11">
        <v>0</v>
      </c>
      <c r="DB40" s="11" t="s">
        <v>298</v>
      </c>
      <c r="DC40" s="11">
        <v>0.06</v>
      </c>
      <c r="DD40" s="11">
        <v>637</v>
      </c>
      <c r="DE40" s="11">
        <v>125</v>
      </c>
      <c r="DF40" s="11">
        <v>14</v>
      </c>
      <c r="DG40" s="11">
        <v>7111</v>
      </c>
      <c r="DH40" s="11">
        <v>0.09</v>
      </c>
      <c r="DI40" s="11">
        <v>0.2</v>
      </c>
      <c r="DJ40" s="11">
        <v>312</v>
      </c>
      <c r="DK40" s="11">
        <v>10.87</v>
      </c>
      <c r="DL40" s="11" t="s">
        <v>96</v>
      </c>
      <c r="DM40" s="11">
        <v>27</v>
      </c>
      <c r="DN40" s="11">
        <v>0</v>
      </c>
      <c r="DO40" s="11">
        <v>0</v>
      </c>
      <c r="DP40" s="11">
        <v>0</v>
      </c>
      <c r="DQ40" s="11">
        <v>0</v>
      </c>
      <c r="DR40" s="11">
        <v>0</v>
      </c>
      <c r="DS40" s="11">
        <v>0</v>
      </c>
      <c r="DT40" s="11">
        <v>0</v>
      </c>
      <c r="DU40" s="11">
        <v>0</v>
      </c>
      <c r="DV40" s="11">
        <v>439</v>
      </c>
      <c r="DW40" s="11">
        <v>83</v>
      </c>
      <c r="DX40" s="11">
        <v>0</v>
      </c>
      <c r="DY40" s="11"/>
      <c r="DZ40" s="11"/>
      <c r="EA40" s="11"/>
      <c r="EB40" s="11">
        <v>1</v>
      </c>
      <c r="EC40" s="6">
        <v>0</v>
      </c>
      <c r="ED40" s="6">
        <v>1</v>
      </c>
      <c r="EE40" s="6">
        <v>0</v>
      </c>
      <c r="EF40" s="6">
        <v>0</v>
      </c>
      <c r="EG40" s="6">
        <v>0</v>
      </c>
      <c r="EH40" s="6">
        <v>1</v>
      </c>
      <c r="EI40" s="6">
        <v>0</v>
      </c>
      <c r="EJ40" s="6">
        <v>0</v>
      </c>
      <c r="EK40" s="6">
        <v>0</v>
      </c>
      <c r="EL40" s="6">
        <v>0</v>
      </c>
      <c r="EM40" s="6">
        <v>1</v>
      </c>
      <c r="EN40" s="6">
        <v>1</v>
      </c>
      <c r="EO40" s="6">
        <v>0</v>
      </c>
      <c r="EP40" s="6">
        <v>0</v>
      </c>
      <c r="EQ40" s="6">
        <v>1</v>
      </c>
      <c r="ER40" s="6">
        <v>0</v>
      </c>
      <c r="ES40" s="6">
        <v>0</v>
      </c>
      <c r="ET40" s="6">
        <v>0</v>
      </c>
      <c r="EU40" s="11"/>
      <c r="EV40" s="4"/>
      <c r="EW40" s="4"/>
      <c r="EX40" s="4"/>
    </row>
    <row r="41" spans="1:154" s="5" customFormat="1" ht="15.75" customHeight="1">
      <c r="A41" s="12">
        <v>68</v>
      </c>
      <c r="B41" s="12">
        <v>7041989</v>
      </c>
      <c r="C41" s="12" t="s">
        <v>139</v>
      </c>
      <c r="D41" s="12" t="s">
        <v>140</v>
      </c>
      <c r="E41" s="12">
        <v>2878466</v>
      </c>
      <c r="F41" s="12">
        <v>2728726</v>
      </c>
      <c r="G41" s="12">
        <v>5.2</v>
      </c>
      <c r="H41" s="12">
        <v>47.7</v>
      </c>
      <c r="I41" s="12">
        <v>15.9</v>
      </c>
      <c r="J41" s="12">
        <v>177</v>
      </c>
      <c r="K41" s="12">
        <v>6.32</v>
      </c>
      <c r="L41" s="12">
        <v>70.819999999999993</v>
      </c>
      <c r="M41" s="12">
        <v>0.61</v>
      </c>
      <c r="N41" s="12">
        <v>6.8</v>
      </c>
      <c r="O41" s="12">
        <v>0.18</v>
      </c>
      <c r="P41" s="12">
        <v>2.0299999999999998</v>
      </c>
      <c r="Q41" s="12">
        <v>0.1</v>
      </c>
      <c r="R41" s="12">
        <v>1.08</v>
      </c>
      <c r="S41" s="12">
        <v>1.72</v>
      </c>
      <c r="T41" s="12">
        <v>19.27</v>
      </c>
      <c r="U41" s="12">
        <v>2159</v>
      </c>
      <c r="V41" s="12">
        <v>16.3</v>
      </c>
      <c r="W41" s="28">
        <f t="shared" si="0"/>
        <v>351.91700000000003</v>
      </c>
      <c r="X41" s="12">
        <v>39.9</v>
      </c>
      <c r="Y41" s="28">
        <f t="shared" si="1"/>
        <v>861.44099999999992</v>
      </c>
      <c r="Z41" s="12">
        <v>58.4</v>
      </c>
      <c r="AA41" s="28">
        <f t="shared" si="2"/>
        <v>1260.856</v>
      </c>
      <c r="AB41" s="12">
        <v>41.9</v>
      </c>
      <c r="AC41" s="28">
        <f t="shared" si="3"/>
        <v>904.62099999999987</v>
      </c>
      <c r="AD41" s="12">
        <v>16.3</v>
      </c>
      <c r="AE41" s="29">
        <f t="shared" si="4"/>
        <v>351.91700000000003</v>
      </c>
      <c r="AF41" s="30">
        <v>0.21</v>
      </c>
      <c r="AG41" s="29">
        <f t="shared" si="5"/>
        <v>4.5339</v>
      </c>
      <c r="AH41" s="30">
        <v>67.599999999999994</v>
      </c>
      <c r="AI41" s="28">
        <f t="shared" si="6"/>
        <v>1459.4839999999999</v>
      </c>
      <c r="AJ41" s="30">
        <v>71.900000000000006</v>
      </c>
      <c r="AK41" s="28">
        <f t="shared" si="7"/>
        <v>1049.3689960000002</v>
      </c>
      <c r="AL41" s="12">
        <v>29.8</v>
      </c>
      <c r="AM41" s="28">
        <f t="shared" si="8"/>
        <v>312.71196080800001</v>
      </c>
      <c r="AN41" s="12">
        <v>62.5</v>
      </c>
      <c r="AO41" s="28">
        <f t="shared" si="9"/>
        <v>655.85562249999998</v>
      </c>
      <c r="AP41" s="12">
        <v>6.5</v>
      </c>
      <c r="AQ41" s="28">
        <f t="shared" si="10"/>
        <v>68.20898474000002</v>
      </c>
      <c r="AR41" s="12">
        <v>1.1000000000000001</v>
      </c>
      <c r="AS41" s="28">
        <f t="shared" si="11"/>
        <v>11.543058956000003</v>
      </c>
      <c r="AT41" s="12">
        <v>24.4</v>
      </c>
      <c r="AU41" s="28">
        <f t="shared" si="12"/>
        <v>356.11409600000002</v>
      </c>
      <c r="AV41" s="12">
        <v>9.6</v>
      </c>
      <c r="AW41" s="28">
        <f t="shared" si="13"/>
        <v>34.186953215999999</v>
      </c>
      <c r="AX41" s="12">
        <v>33</v>
      </c>
      <c r="AY41" s="28">
        <f t="shared" si="14"/>
        <v>117.51765168</v>
      </c>
      <c r="AZ41" s="12">
        <v>1.6</v>
      </c>
      <c r="BA41" s="28">
        <f t="shared" si="15"/>
        <v>5.6978255359999999</v>
      </c>
      <c r="BB41" s="12">
        <v>13</v>
      </c>
      <c r="BC41" s="28">
        <f t="shared" si="16"/>
        <v>46.294832480000004</v>
      </c>
      <c r="BD41" s="12">
        <v>42.8</v>
      </c>
      <c r="BE41" s="28">
        <f t="shared" si="17"/>
        <v>152.416833088</v>
      </c>
      <c r="BF41" s="12">
        <v>0.22</v>
      </c>
      <c r="BG41" s="28">
        <f t="shared" si="18"/>
        <v>3.2108648</v>
      </c>
      <c r="BH41" s="12">
        <v>0.19</v>
      </c>
      <c r="BI41" s="28">
        <f t="shared" si="19"/>
        <v>2.7730196</v>
      </c>
      <c r="BJ41" s="12">
        <v>3.3</v>
      </c>
      <c r="BK41" s="28">
        <f t="shared" si="20"/>
        <v>48.162971999999989</v>
      </c>
      <c r="BL41" s="12">
        <v>7.8</v>
      </c>
      <c r="BM41" s="12"/>
      <c r="BN41" s="28">
        <f t="shared" si="21"/>
        <v>81.850781688000012</v>
      </c>
      <c r="BO41" s="12">
        <v>35.5</v>
      </c>
      <c r="BP41" s="12">
        <v>25.6</v>
      </c>
      <c r="BQ41" s="12">
        <v>20.399999999999999</v>
      </c>
      <c r="BR41" s="12">
        <v>20.3</v>
      </c>
      <c r="BS41" s="12">
        <v>13.5</v>
      </c>
      <c r="BT41" s="12">
        <v>9</v>
      </c>
      <c r="BU41" s="12">
        <v>43.3</v>
      </c>
      <c r="BV41" s="28">
        <f t="shared" si="22"/>
        <v>4543767.7526800008</v>
      </c>
      <c r="BW41" s="12">
        <v>24.7</v>
      </c>
      <c r="BX41" s="12">
        <v>43.4</v>
      </c>
      <c r="BY41" s="28">
        <f t="shared" si="23"/>
        <v>1971995.2046631202</v>
      </c>
      <c r="BZ41" s="12">
        <v>6.3</v>
      </c>
      <c r="CA41" s="28">
        <f t="shared" si="24"/>
        <v>286257.36841884005</v>
      </c>
      <c r="CB41" s="12">
        <v>11.5</v>
      </c>
      <c r="CC41" s="28">
        <f t="shared" si="25"/>
        <v>522533.29155820014</v>
      </c>
      <c r="CD41" s="12">
        <v>10.4</v>
      </c>
      <c r="CE41" s="28">
        <f t="shared" si="26"/>
        <v>472551.84627872013</v>
      </c>
      <c r="CF41" s="12">
        <v>3.7</v>
      </c>
      <c r="CG41" s="28">
        <f t="shared" si="27"/>
        <v>168119.40684916003</v>
      </c>
      <c r="CH41" s="12">
        <v>11.5</v>
      </c>
      <c r="CI41" s="28">
        <f t="shared" si="28"/>
        <v>120.67743454000001</v>
      </c>
      <c r="CJ41" s="12">
        <v>17.7</v>
      </c>
      <c r="CK41" s="12">
        <v>21.2</v>
      </c>
      <c r="CL41" s="28">
        <f t="shared" si="29"/>
        <v>255836.16122480002</v>
      </c>
      <c r="CM41" s="12">
        <v>10.4</v>
      </c>
      <c r="CN41" s="28">
        <f t="shared" si="30"/>
        <v>12.550453192160001</v>
      </c>
      <c r="CO41" s="12">
        <v>50.7</v>
      </c>
      <c r="CP41" s="28">
        <f t="shared" si="31"/>
        <v>61.183459311780005</v>
      </c>
      <c r="CQ41" s="12">
        <v>12</v>
      </c>
      <c r="CR41" s="28">
        <f t="shared" si="34"/>
        <v>259.08</v>
      </c>
      <c r="CS41" s="12">
        <v>0.35</v>
      </c>
      <c r="CT41" s="28">
        <f t="shared" si="35"/>
        <v>7.5564999999999998</v>
      </c>
      <c r="CU41" s="27">
        <v>45975</v>
      </c>
      <c r="CV41" s="11">
        <v>0</v>
      </c>
      <c r="CW41" s="11">
        <v>63</v>
      </c>
      <c r="CX41" s="11">
        <v>2</v>
      </c>
      <c r="CY41" s="11">
        <v>1</v>
      </c>
      <c r="CZ41" s="11" t="s">
        <v>93</v>
      </c>
      <c r="DA41" s="11">
        <v>1</v>
      </c>
      <c r="DB41" s="11" t="s">
        <v>299</v>
      </c>
      <c r="DC41" s="11">
        <v>0.25</v>
      </c>
      <c r="DD41" s="11">
        <v>885</v>
      </c>
      <c r="DE41" s="11">
        <v>700</v>
      </c>
      <c r="DF41" s="11">
        <v>101</v>
      </c>
      <c r="DG41" s="11">
        <v>16741</v>
      </c>
      <c r="DH41" s="11">
        <v>5.2999999999999999E-2</v>
      </c>
      <c r="DI41" s="11">
        <v>0.79</v>
      </c>
      <c r="DJ41" s="11">
        <v>684</v>
      </c>
      <c r="DK41" s="11">
        <v>14.61</v>
      </c>
      <c r="DL41" s="11" t="s">
        <v>96</v>
      </c>
      <c r="DM41" s="11">
        <v>22</v>
      </c>
      <c r="DN41" s="11">
        <v>4.5</v>
      </c>
      <c r="DO41" s="11">
        <v>1</v>
      </c>
      <c r="DP41" s="11">
        <v>2</v>
      </c>
      <c r="DQ41" s="11">
        <v>1</v>
      </c>
      <c r="DR41" s="11">
        <v>1</v>
      </c>
      <c r="DS41" s="11">
        <v>0.5</v>
      </c>
      <c r="DT41" s="11">
        <v>0</v>
      </c>
      <c r="DU41" s="11">
        <v>0</v>
      </c>
      <c r="DV41" s="11">
        <v>269</v>
      </c>
      <c r="DW41" s="11">
        <v>48</v>
      </c>
      <c r="DX41" s="11">
        <v>1</v>
      </c>
      <c r="DY41" s="11"/>
      <c r="DZ41" s="11"/>
      <c r="EA41" s="11"/>
      <c r="EB41" s="11">
        <v>1</v>
      </c>
      <c r="EC41" s="6">
        <v>0</v>
      </c>
      <c r="ED41" s="6">
        <v>1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1</v>
      </c>
      <c r="EL41" s="6">
        <v>1</v>
      </c>
      <c r="EM41" s="6">
        <v>1</v>
      </c>
      <c r="EN41" s="6">
        <v>1</v>
      </c>
      <c r="EO41" s="6">
        <v>0</v>
      </c>
      <c r="EP41" s="6">
        <v>0</v>
      </c>
      <c r="EQ41" s="6">
        <v>1</v>
      </c>
      <c r="ER41" s="6">
        <v>0</v>
      </c>
      <c r="ES41" s="6">
        <v>0</v>
      </c>
      <c r="ET41" s="6">
        <v>0</v>
      </c>
      <c r="EU41" s="11"/>
      <c r="EV41" s="4"/>
      <c r="EW41" s="4"/>
      <c r="EX41" s="4"/>
    </row>
    <row r="42" spans="1:154" s="5" customFormat="1" ht="15.75" customHeight="1">
      <c r="A42" s="12">
        <v>52</v>
      </c>
      <c r="B42" s="12">
        <v>7041322</v>
      </c>
      <c r="C42" s="12" t="s">
        <v>141</v>
      </c>
      <c r="D42" s="12" t="s">
        <v>142</v>
      </c>
      <c r="E42" s="12">
        <v>3379561</v>
      </c>
      <c r="F42" s="12">
        <v>3055015</v>
      </c>
      <c r="G42" s="12">
        <v>3.89</v>
      </c>
      <c r="H42" s="12">
        <v>36</v>
      </c>
      <c r="I42" s="12">
        <v>12</v>
      </c>
      <c r="J42" s="12">
        <v>198</v>
      </c>
      <c r="K42" s="12">
        <v>4.82</v>
      </c>
      <c r="L42" s="12">
        <v>63.7</v>
      </c>
      <c r="M42" s="12">
        <v>0.8</v>
      </c>
      <c r="N42" s="12">
        <v>10.6</v>
      </c>
      <c r="O42" s="12">
        <v>0.24</v>
      </c>
      <c r="P42" s="12">
        <v>3.22</v>
      </c>
      <c r="Q42" s="12">
        <v>7.0000000000000007E-2</v>
      </c>
      <c r="R42" s="12">
        <v>0.93</v>
      </c>
      <c r="S42" s="12">
        <v>1.63</v>
      </c>
      <c r="T42" s="12">
        <v>21.55</v>
      </c>
      <c r="U42" s="12">
        <v>1811</v>
      </c>
      <c r="V42" s="12">
        <v>13.7</v>
      </c>
      <c r="W42" s="28">
        <f t="shared" si="0"/>
        <v>248.10699999999997</v>
      </c>
      <c r="X42" s="12">
        <v>70.8</v>
      </c>
      <c r="Y42" s="28">
        <f t="shared" si="1"/>
        <v>1282.1879999999999</v>
      </c>
      <c r="Z42" s="12">
        <v>27.9</v>
      </c>
      <c r="AA42" s="28">
        <f t="shared" si="2"/>
        <v>505.26899999999995</v>
      </c>
      <c r="AB42" s="12">
        <v>9.9</v>
      </c>
      <c r="AC42" s="28">
        <f t="shared" si="3"/>
        <v>179.28900000000002</v>
      </c>
      <c r="AD42" s="12">
        <v>17.5</v>
      </c>
      <c r="AE42" s="29">
        <f t="shared" si="4"/>
        <v>316.92500000000001</v>
      </c>
      <c r="AF42" s="30">
        <v>0.55000000000000004</v>
      </c>
      <c r="AG42" s="29">
        <f t="shared" si="5"/>
        <v>9.9605000000000015</v>
      </c>
      <c r="AH42" s="30">
        <v>64.7</v>
      </c>
      <c r="AI42" s="28">
        <f t="shared" si="6"/>
        <v>1171.7170000000001</v>
      </c>
      <c r="AJ42" s="30">
        <v>69.8</v>
      </c>
      <c r="AK42" s="28">
        <f t="shared" si="7"/>
        <v>817.85846600000002</v>
      </c>
      <c r="AL42" s="12">
        <v>27.3</v>
      </c>
      <c r="AM42" s="28">
        <f t="shared" si="8"/>
        <v>223.275361218</v>
      </c>
      <c r="AN42" s="12">
        <v>60.1</v>
      </c>
      <c r="AO42" s="28">
        <f t="shared" si="9"/>
        <v>491.53293806600004</v>
      </c>
      <c r="AP42" s="12">
        <v>9.1999999999999993</v>
      </c>
      <c r="AQ42" s="28">
        <f t="shared" si="10"/>
        <v>75.242978871999995</v>
      </c>
      <c r="AR42" s="12">
        <v>3.2</v>
      </c>
      <c r="AS42" s="28">
        <f t="shared" si="11"/>
        <v>26.171470912000004</v>
      </c>
      <c r="AT42" s="12">
        <v>26.1</v>
      </c>
      <c r="AU42" s="28">
        <f t="shared" si="12"/>
        <v>305.81813700000004</v>
      </c>
      <c r="AV42" s="12">
        <v>19.600000000000001</v>
      </c>
      <c r="AW42" s="28">
        <f t="shared" si="13"/>
        <v>59.940354852000013</v>
      </c>
      <c r="AX42" s="12">
        <v>45.9</v>
      </c>
      <c r="AY42" s="28">
        <f t="shared" si="14"/>
        <v>140.37052488300003</v>
      </c>
      <c r="AZ42" s="12">
        <v>2.2999999999999998</v>
      </c>
      <c r="BA42" s="28">
        <f t="shared" si="15"/>
        <v>7.0338171510000009</v>
      </c>
      <c r="BB42" s="12">
        <v>6.9</v>
      </c>
      <c r="BC42" s="28">
        <f t="shared" si="16"/>
        <v>21.101451453000003</v>
      </c>
      <c r="BD42" s="12">
        <v>24.9</v>
      </c>
      <c r="BE42" s="28">
        <f t="shared" si="17"/>
        <v>76.148716113000006</v>
      </c>
      <c r="BF42" s="12">
        <v>0.28999999999999998</v>
      </c>
      <c r="BG42" s="28">
        <f t="shared" si="18"/>
        <v>3.3979793000000003</v>
      </c>
      <c r="BH42" s="12">
        <v>1.2</v>
      </c>
      <c r="BI42" s="28">
        <f t="shared" si="19"/>
        <v>14.060604000000001</v>
      </c>
      <c r="BJ42" s="12">
        <v>2.6</v>
      </c>
      <c r="BK42" s="28">
        <f t="shared" si="20"/>
        <v>30.464642000000005</v>
      </c>
      <c r="BL42" s="12">
        <v>6.8</v>
      </c>
      <c r="BM42" s="12"/>
      <c r="BN42" s="28">
        <f t="shared" si="21"/>
        <v>55.614375688000003</v>
      </c>
      <c r="BO42" s="12">
        <v>66.3</v>
      </c>
      <c r="BP42" s="12">
        <v>15.6</v>
      </c>
      <c r="BQ42" s="12">
        <v>17.600000000000001</v>
      </c>
      <c r="BR42" s="12">
        <v>29.9</v>
      </c>
      <c r="BS42" s="12">
        <v>15.6</v>
      </c>
      <c r="BT42" s="12">
        <v>9.8000000000000007</v>
      </c>
      <c r="BU42" s="12">
        <v>41.3</v>
      </c>
      <c r="BV42" s="28">
        <f t="shared" si="22"/>
        <v>3377755.4645799994</v>
      </c>
      <c r="BW42" s="12">
        <v>23.8</v>
      </c>
      <c r="BX42" s="12">
        <v>23</v>
      </c>
      <c r="BY42" s="28">
        <f t="shared" si="23"/>
        <v>776883.75685339991</v>
      </c>
      <c r="BZ42" s="12">
        <v>21.9</v>
      </c>
      <c r="CA42" s="28">
        <f t="shared" si="24"/>
        <v>739728.44674301986</v>
      </c>
      <c r="CB42" s="12">
        <v>13.3</v>
      </c>
      <c r="CC42" s="28">
        <f t="shared" si="25"/>
        <v>449241.47678913997</v>
      </c>
      <c r="CD42" s="12">
        <v>11.7</v>
      </c>
      <c r="CE42" s="28">
        <f t="shared" si="26"/>
        <v>395197.38935585989</v>
      </c>
      <c r="CF42" s="12">
        <v>6.3</v>
      </c>
      <c r="CG42" s="28">
        <f t="shared" si="27"/>
        <v>212798.59426853995</v>
      </c>
      <c r="CH42" s="12">
        <v>12.8</v>
      </c>
      <c r="CI42" s="28">
        <f t="shared" si="28"/>
        <v>104.68588364800002</v>
      </c>
      <c r="CJ42" s="12">
        <v>8.1999999999999993</v>
      </c>
      <c r="CK42" s="12">
        <v>22.9</v>
      </c>
      <c r="CL42" s="28">
        <f t="shared" si="29"/>
        <v>239730.67355392003</v>
      </c>
      <c r="CM42" s="12">
        <v>21</v>
      </c>
      <c r="CN42" s="28">
        <f t="shared" si="30"/>
        <v>21.984035566080003</v>
      </c>
      <c r="CO42" s="12">
        <v>47.9</v>
      </c>
      <c r="CP42" s="28">
        <f t="shared" si="31"/>
        <v>50.144538267392008</v>
      </c>
      <c r="CQ42" s="12">
        <v>14</v>
      </c>
      <c r="CR42" s="28">
        <f t="shared" si="34"/>
        <v>253.54</v>
      </c>
      <c r="CS42" s="12">
        <v>0.33</v>
      </c>
      <c r="CT42" s="28">
        <f t="shared" si="35"/>
        <v>5.9763000000000002</v>
      </c>
      <c r="CU42" s="27">
        <v>45946</v>
      </c>
      <c r="CV42" s="11">
        <v>1</v>
      </c>
      <c r="CW42" s="11">
        <v>73</v>
      </c>
      <c r="CX42" s="11">
        <v>1</v>
      </c>
      <c r="CY42" s="11">
        <v>1</v>
      </c>
      <c r="CZ42" s="11" t="s">
        <v>93</v>
      </c>
      <c r="DA42" s="11">
        <v>1</v>
      </c>
      <c r="DB42" s="11" t="s">
        <v>156</v>
      </c>
      <c r="DC42" s="11">
        <v>1.03</v>
      </c>
      <c r="DD42" s="11">
        <v>431</v>
      </c>
      <c r="DE42" s="11">
        <v>553</v>
      </c>
      <c r="DF42" s="11">
        <v>79</v>
      </c>
      <c r="DG42" s="11">
        <v>7684</v>
      </c>
      <c r="DH42" s="11">
        <v>5.6000000000000001E-2</v>
      </c>
      <c r="DI42" s="11">
        <v>1.28</v>
      </c>
      <c r="DJ42" s="11">
        <v>1010</v>
      </c>
      <c r="DK42" s="11">
        <v>33.659999999999997</v>
      </c>
      <c r="DL42" s="11" t="s">
        <v>96</v>
      </c>
      <c r="DM42" s="11">
        <v>8</v>
      </c>
      <c r="DN42" s="11">
        <v>10</v>
      </c>
      <c r="DO42" s="11">
        <v>2</v>
      </c>
      <c r="DP42" s="11">
        <v>3</v>
      </c>
      <c r="DQ42" s="11">
        <v>2</v>
      </c>
      <c r="DR42" s="11">
        <v>2</v>
      </c>
      <c r="DS42" s="11">
        <v>2</v>
      </c>
      <c r="DT42" s="11">
        <v>1</v>
      </c>
      <c r="DU42" s="11">
        <v>0</v>
      </c>
      <c r="DV42" s="11"/>
      <c r="DW42" s="11"/>
      <c r="DX42" s="11">
        <v>1</v>
      </c>
      <c r="DY42" s="11"/>
      <c r="DZ42" s="11"/>
      <c r="EA42" s="11"/>
      <c r="EB42" s="11">
        <v>1</v>
      </c>
      <c r="EC42" s="6">
        <v>0</v>
      </c>
      <c r="ED42" s="6">
        <v>1</v>
      </c>
      <c r="EE42" s="6">
        <v>0</v>
      </c>
      <c r="EF42" s="6">
        <v>0</v>
      </c>
      <c r="EG42" s="6">
        <v>0</v>
      </c>
      <c r="EH42" s="6">
        <v>1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1</v>
      </c>
      <c r="EO42" s="6">
        <v>0</v>
      </c>
      <c r="EP42" s="6">
        <v>0</v>
      </c>
      <c r="EQ42" s="6">
        <v>1</v>
      </c>
      <c r="ER42" s="6">
        <v>0</v>
      </c>
      <c r="ES42" s="6">
        <v>0</v>
      </c>
      <c r="ET42" s="6">
        <v>0</v>
      </c>
      <c r="EU42" s="11"/>
      <c r="EV42" s="4"/>
      <c r="EW42" s="4"/>
      <c r="EX42" s="4"/>
    </row>
    <row r="43" spans="1:154" s="5" customFormat="1" ht="15.75" customHeight="1">
      <c r="A43" s="12">
        <v>54</v>
      </c>
      <c r="B43" s="12">
        <v>7041324</v>
      </c>
      <c r="C43" s="12" t="s">
        <v>143</v>
      </c>
      <c r="D43" s="12" t="s">
        <v>144</v>
      </c>
      <c r="E43" s="12">
        <v>4730950</v>
      </c>
      <c r="F43" s="12">
        <v>3075462</v>
      </c>
      <c r="G43" s="12">
        <v>4.3499999999999996</v>
      </c>
      <c r="H43" s="12">
        <v>39</v>
      </c>
      <c r="I43" s="12">
        <v>13.2</v>
      </c>
      <c r="J43" s="12">
        <v>272</v>
      </c>
      <c r="K43" s="12">
        <v>3.57</v>
      </c>
      <c r="L43" s="12">
        <v>59.39</v>
      </c>
      <c r="M43" s="12">
        <v>0.55000000000000004</v>
      </c>
      <c r="N43" s="12">
        <v>9.1300000000000008</v>
      </c>
      <c r="O43" s="12">
        <v>0.21</v>
      </c>
      <c r="P43" s="12">
        <v>3.44</v>
      </c>
      <c r="Q43" s="12">
        <v>0.06</v>
      </c>
      <c r="R43" s="12">
        <v>1.02</v>
      </c>
      <c r="S43" s="12">
        <v>1.63</v>
      </c>
      <c r="T43" s="12">
        <v>27.02</v>
      </c>
      <c r="U43" s="12">
        <v>1753</v>
      </c>
      <c r="V43" s="12">
        <v>9.3000000000000007</v>
      </c>
      <c r="W43" s="28">
        <f t="shared" si="0"/>
        <v>163.02900000000002</v>
      </c>
      <c r="X43" s="12">
        <v>77.599999999999994</v>
      </c>
      <c r="Y43" s="28">
        <f t="shared" si="1"/>
        <v>1360.328</v>
      </c>
      <c r="Z43" s="12">
        <v>22.1</v>
      </c>
      <c r="AA43" s="28">
        <f t="shared" si="2"/>
        <v>387.41300000000001</v>
      </c>
      <c r="AB43" s="12">
        <v>6</v>
      </c>
      <c r="AC43" s="28">
        <f t="shared" si="3"/>
        <v>105.18</v>
      </c>
      <c r="AD43" s="12">
        <v>15.6</v>
      </c>
      <c r="AE43" s="29">
        <f t="shared" si="4"/>
        <v>273.46800000000002</v>
      </c>
      <c r="AF43" s="30">
        <v>0.46</v>
      </c>
      <c r="AG43" s="29">
        <f t="shared" si="5"/>
        <v>8.0638000000000005</v>
      </c>
      <c r="AH43" s="30">
        <v>76.900000000000006</v>
      </c>
      <c r="AI43" s="28">
        <f t="shared" si="6"/>
        <v>1348.057</v>
      </c>
      <c r="AJ43" s="30">
        <v>51.1</v>
      </c>
      <c r="AK43" s="28">
        <f t="shared" si="7"/>
        <v>688.85712699999999</v>
      </c>
      <c r="AL43" s="12">
        <v>41.4</v>
      </c>
      <c r="AM43" s="28">
        <f t="shared" si="8"/>
        <v>285.18685057799996</v>
      </c>
      <c r="AN43" s="12">
        <v>47.8</v>
      </c>
      <c r="AO43" s="28">
        <f t="shared" si="9"/>
        <v>329.27370670599998</v>
      </c>
      <c r="AP43" s="12">
        <v>8.4</v>
      </c>
      <c r="AQ43" s="28">
        <f t="shared" si="10"/>
        <v>57.863998668000001</v>
      </c>
      <c r="AR43" s="12">
        <v>2</v>
      </c>
      <c r="AS43" s="28">
        <f t="shared" si="11"/>
        <v>13.77714254</v>
      </c>
      <c r="AT43" s="12">
        <v>46.1</v>
      </c>
      <c r="AU43" s="28">
        <f t="shared" si="12"/>
        <v>621.45427700000005</v>
      </c>
      <c r="AV43" s="12">
        <v>16.7</v>
      </c>
      <c r="AW43" s="28">
        <f t="shared" si="13"/>
        <v>103.78286425899999</v>
      </c>
      <c r="AX43" s="12">
        <v>37.200000000000003</v>
      </c>
      <c r="AY43" s="28">
        <f t="shared" si="14"/>
        <v>231.18099104400005</v>
      </c>
      <c r="AZ43" s="12">
        <v>3.4</v>
      </c>
      <c r="BA43" s="28">
        <f t="shared" si="15"/>
        <v>21.129445418</v>
      </c>
      <c r="BB43" s="12">
        <v>26</v>
      </c>
      <c r="BC43" s="28">
        <f t="shared" si="16"/>
        <v>161.57811202000002</v>
      </c>
      <c r="BD43" s="12">
        <v>14.4</v>
      </c>
      <c r="BE43" s="28">
        <f t="shared" si="17"/>
        <v>89.489415887999996</v>
      </c>
      <c r="BF43" s="12">
        <v>0.28999999999999998</v>
      </c>
      <c r="BG43" s="28">
        <f t="shared" si="18"/>
        <v>3.9093653000000002</v>
      </c>
      <c r="BH43" s="12">
        <v>0.39</v>
      </c>
      <c r="BI43" s="28">
        <f t="shared" si="19"/>
        <v>5.2574223000000009</v>
      </c>
      <c r="BJ43" s="12">
        <v>2.1</v>
      </c>
      <c r="BK43" s="28">
        <f t="shared" si="20"/>
        <v>28.309197000000005</v>
      </c>
      <c r="BL43" s="12">
        <v>9.6</v>
      </c>
      <c r="BM43" s="12"/>
      <c r="BN43" s="28">
        <f t="shared" si="21"/>
        <v>66.130284192000005</v>
      </c>
      <c r="BO43" s="12">
        <v>70.5</v>
      </c>
      <c r="BP43" s="12">
        <v>26.6</v>
      </c>
      <c r="BQ43" s="12">
        <v>0</v>
      </c>
      <c r="BR43" s="12">
        <v>42.2</v>
      </c>
      <c r="BS43" s="12">
        <v>15.8</v>
      </c>
      <c r="BT43" s="12">
        <v>10</v>
      </c>
      <c r="BU43" s="12">
        <v>37.200000000000003</v>
      </c>
      <c r="BV43" s="28">
        <f t="shared" si="22"/>
        <v>2562548.5124400002</v>
      </c>
      <c r="BW43" s="12">
        <v>27.1</v>
      </c>
      <c r="BX43" s="12">
        <v>22.5</v>
      </c>
      <c r="BY43" s="28">
        <f t="shared" si="23"/>
        <v>576573.4152990001</v>
      </c>
      <c r="BZ43" s="12">
        <v>24.3</v>
      </c>
      <c r="CA43" s="28">
        <f t="shared" si="24"/>
        <v>622699.28852292011</v>
      </c>
      <c r="CB43" s="12">
        <v>11.9</v>
      </c>
      <c r="CC43" s="28">
        <f t="shared" si="25"/>
        <v>304943.27298036002</v>
      </c>
      <c r="CD43" s="12">
        <v>9.1999999999999993</v>
      </c>
      <c r="CE43" s="28">
        <f t="shared" si="26"/>
        <v>235754.46314447999</v>
      </c>
      <c r="CF43" s="12">
        <v>5</v>
      </c>
      <c r="CG43" s="28">
        <f t="shared" si="27"/>
        <v>128127.42562200001</v>
      </c>
      <c r="CH43" s="12">
        <v>8.3000000000000007</v>
      </c>
      <c r="CI43" s="28">
        <f t="shared" si="28"/>
        <v>57.175141541000002</v>
      </c>
      <c r="CJ43" s="12">
        <v>13.3</v>
      </c>
      <c r="CK43" s="12">
        <v>27.8</v>
      </c>
      <c r="CL43" s="28">
        <f t="shared" si="29"/>
        <v>158946.89348398001</v>
      </c>
      <c r="CM43" s="12">
        <v>26.7</v>
      </c>
      <c r="CN43" s="28">
        <f t="shared" si="30"/>
        <v>15.265762791447001</v>
      </c>
      <c r="CO43" s="12">
        <v>32.200000000000003</v>
      </c>
      <c r="CP43" s="28">
        <f t="shared" si="31"/>
        <v>18.410395576202003</v>
      </c>
      <c r="CQ43" s="12">
        <v>8.6</v>
      </c>
      <c r="CR43" s="28">
        <f t="shared" si="34"/>
        <v>150.75799999999998</v>
      </c>
      <c r="CS43" s="12">
        <v>1.1000000000000001</v>
      </c>
      <c r="CT43" s="28">
        <f t="shared" si="35"/>
        <v>19.283000000000001</v>
      </c>
      <c r="CU43" s="27">
        <v>45946</v>
      </c>
      <c r="CV43" s="11">
        <v>1</v>
      </c>
      <c r="CW43" s="11">
        <v>73</v>
      </c>
      <c r="CX43" s="11">
        <v>3</v>
      </c>
      <c r="CY43" s="11">
        <v>2</v>
      </c>
      <c r="CZ43" s="11" t="s">
        <v>283</v>
      </c>
      <c r="DA43" s="11">
        <v>0</v>
      </c>
      <c r="DB43" s="11" t="s">
        <v>300</v>
      </c>
      <c r="DC43" s="11">
        <v>0.12</v>
      </c>
      <c r="DD43" s="11">
        <v>888</v>
      </c>
      <c r="DE43" s="11">
        <v>211</v>
      </c>
      <c r="DF43" s="11">
        <v>21</v>
      </c>
      <c r="DG43" s="11">
        <v>8483</v>
      </c>
      <c r="DH43" s="11">
        <v>0.105</v>
      </c>
      <c r="DI43" s="11">
        <v>0.24</v>
      </c>
      <c r="DJ43" s="11">
        <v>1171</v>
      </c>
      <c r="DK43" s="11">
        <v>25.38</v>
      </c>
      <c r="DL43" s="11" t="s">
        <v>95</v>
      </c>
      <c r="DM43" s="11">
        <v>26</v>
      </c>
      <c r="DN43" s="11">
        <v>1</v>
      </c>
      <c r="DO43" s="11">
        <v>0.5</v>
      </c>
      <c r="DP43" s="11">
        <v>0.5</v>
      </c>
      <c r="DQ43" s="11">
        <v>0</v>
      </c>
      <c r="DR43" s="11">
        <v>0.5</v>
      </c>
      <c r="DS43" s="11">
        <v>0</v>
      </c>
      <c r="DT43" s="11">
        <v>0</v>
      </c>
      <c r="DU43" s="11">
        <v>0</v>
      </c>
      <c r="DV43" s="11">
        <v>315</v>
      </c>
      <c r="DW43" s="11">
        <v>54</v>
      </c>
      <c r="DX43" s="11"/>
      <c r="DY43" s="11"/>
      <c r="DZ43" s="11"/>
      <c r="EA43" s="11"/>
      <c r="EB43" s="11">
        <v>0</v>
      </c>
      <c r="EC43" s="6">
        <v>0</v>
      </c>
      <c r="ED43" s="6">
        <v>1</v>
      </c>
      <c r="EE43" s="6">
        <v>0</v>
      </c>
      <c r="EF43" s="6">
        <v>0</v>
      </c>
      <c r="EG43" s="6">
        <v>0</v>
      </c>
      <c r="EH43" s="6">
        <v>1</v>
      </c>
      <c r="EI43" s="6">
        <v>0</v>
      </c>
      <c r="EJ43" s="6">
        <v>0</v>
      </c>
      <c r="EK43" s="6">
        <v>3</v>
      </c>
      <c r="EL43" s="6">
        <v>0</v>
      </c>
      <c r="EM43" s="6">
        <v>1</v>
      </c>
      <c r="EN43" s="6">
        <v>2</v>
      </c>
      <c r="EO43" s="6">
        <v>0</v>
      </c>
      <c r="EP43" s="6">
        <v>1</v>
      </c>
      <c r="EQ43" s="6">
        <v>0</v>
      </c>
      <c r="ER43" s="6">
        <v>0</v>
      </c>
      <c r="ES43" s="6">
        <v>0</v>
      </c>
      <c r="ET43" s="6">
        <v>0</v>
      </c>
      <c r="EU43" s="11"/>
      <c r="EV43" s="4"/>
      <c r="EW43" s="4"/>
      <c r="EX43" s="4"/>
    </row>
    <row r="44" spans="1:154" s="5" customFormat="1" ht="15.75" customHeight="1">
      <c r="A44" s="12">
        <v>46</v>
      </c>
      <c r="B44" s="12">
        <v>7040839</v>
      </c>
      <c r="C44" s="12" t="s">
        <v>145</v>
      </c>
      <c r="D44" s="12" t="s">
        <v>146</v>
      </c>
      <c r="E44" s="12">
        <v>3750828</v>
      </c>
      <c r="F44" s="12">
        <v>3081623</v>
      </c>
      <c r="G44" s="12">
        <v>4.17</v>
      </c>
      <c r="H44" s="12">
        <v>39.1</v>
      </c>
      <c r="I44" s="12">
        <v>13</v>
      </c>
      <c r="J44" s="12">
        <v>226</v>
      </c>
      <c r="K44" s="12">
        <v>3.93</v>
      </c>
      <c r="L44" s="12">
        <v>55.59</v>
      </c>
      <c r="M44" s="12">
        <v>0.55000000000000004</v>
      </c>
      <c r="N44" s="12">
        <v>7.83</v>
      </c>
      <c r="O44" s="12">
        <v>0.09</v>
      </c>
      <c r="P44" s="12">
        <v>1.3</v>
      </c>
      <c r="Q44" s="12">
        <v>0.08</v>
      </c>
      <c r="R44" s="12">
        <v>1.1299999999999999</v>
      </c>
      <c r="S44" s="12">
        <v>2.41</v>
      </c>
      <c r="T44" s="12">
        <v>34.15</v>
      </c>
      <c r="U44" s="12">
        <v>2565</v>
      </c>
      <c r="V44" s="12">
        <v>8.8000000000000007</v>
      </c>
      <c r="W44" s="28">
        <f t="shared" si="0"/>
        <v>225.72000000000003</v>
      </c>
      <c r="X44" s="12">
        <v>72.099999999999994</v>
      </c>
      <c r="Y44" s="28">
        <f t="shared" si="1"/>
        <v>1849.3649999999998</v>
      </c>
      <c r="Z44" s="12">
        <v>23.6</v>
      </c>
      <c r="AA44" s="28">
        <f t="shared" si="2"/>
        <v>605.34</v>
      </c>
      <c r="AB44" s="12">
        <v>9.1</v>
      </c>
      <c r="AC44" s="28">
        <f t="shared" si="3"/>
        <v>233.41499999999999</v>
      </c>
      <c r="AD44" s="12">
        <v>14.1</v>
      </c>
      <c r="AE44" s="29">
        <f t="shared" si="4"/>
        <v>361.66500000000002</v>
      </c>
      <c r="AF44" s="30">
        <v>0.34</v>
      </c>
      <c r="AG44" s="29">
        <f t="shared" si="5"/>
        <v>8.7210000000000001</v>
      </c>
      <c r="AH44" s="30">
        <v>75</v>
      </c>
      <c r="AI44" s="28">
        <f t="shared" si="6"/>
        <v>1923.75</v>
      </c>
      <c r="AJ44" s="30">
        <v>63.1</v>
      </c>
      <c r="AK44" s="28">
        <f t="shared" si="7"/>
        <v>1213.88625</v>
      </c>
      <c r="AL44" s="12">
        <v>58.3</v>
      </c>
      <c r="AM44" s="28">
        <f t="shared" si="8"/>
        <v>707.69568375000006</v>
      </c>
      <c r="AN44" s="12">
        <v>34.799999999999997</v>
      </c>
      <c r="AO44" s="28">
        <f t="shared" si="9"/>
        <v>422.43241499999999</v>
      </c>
      <c r="AP44" s="12">
        <v>4.8</v>
      </c>
      <c r="AQ44" s="28">
        <f t="shared" si="10"/>
        <v>58.266539999999992</v>
      </c>
      <c r="AR44" s="12">
        <v>1.3</v>
      </c>
      <c r="AS44" s="28">
        <f t="shared" si="11"/>
        <v>15.780521250000001</v>
      </c>
      <c r="AT44" s="12">
        <v>29.3</v>
      </c>
      <c r="AU44" s="28">
        <f t="shared" si="12"/>
        <v>563.65875000000005</v>
      </c>
      <c r="AV44" s="12">
        <v>26.6</v>
      </c>
      <c r="AW44" s="28">
        <f t="shared" si="13"/>
        <v>149.93322750000004</v>
      </c>
      <c r="AX44" s="12">
        <v>19</v>
      </c>
      <c r="AY44" s="28">
        <f t="shared" si="14"/>
        <v>107.0951625</v>
      </c>
      <c r="AZ44" s="12">
        <v>9.3000000000000007</v>
      </c>
      <c r="BA44" s="28">
        <f t="shared" si="15"/>
        <v>52.420263750000011</v>
      </c>
      <c r="BB44" s="12">
        <v>2</v>
      </c>
      <c r="BC44" s="28">
        <f t="shared" si="16"/>
        <v>11.273175000000002</v>
      </c>
      <c r="BD44" s="12">
        <v>41.5</v>
      </c>
      <c r="BE44" s="28">
        <f t="shared" si="17"/>
        <v>233.91838125000001</v>
      </c>
      <c r="BF44" s="12">
        <v>0.61</v>
      </c>
      <c r="BG44" s="28">
        <f t="shared" si="18"/>
        <v>11.734874999999999</v>
      </c>
      <c r="BH44" s="12">
        <v>1.1000000000000001</v>
      </c>
      <c r="BI44" s="28">
        <f t="shared" si="19"/>
        <v>21.161249999999999</v>
      </c>
      <c r="BJ44" s="12">
        <v>5.9</v>
      </c>
      <c r="BK44" s="28">
        <f t="shared" si="20"/>
        <v>113.50125</v>
      </c>
      <c r="BL44" s="12">
        <v>5.7</v>
      </c>
      <c r="BM44" s="12"/>
      <c r="BN44" s="28">
        <f t="shared" si="21"/>
        <v>69.191516250000006</v>
      </c>
      <c r="BO44" s="12">
        <v>45.7</v>
      </c>
      <c r="BP44" s="12">
        <v>32.6</v>
      </c>
      <c r="BQ44" s="12">
        <v>13.3</v>
      </c>
      <c r="BR44" s="12">
        <v>22.9</v>
      </c>
      <c r="BS44" s="12">
        <v>13.9</v>
      </c>
      <c r="BT44" s="12">
        <v>9.5</v>
      </c>
      <c r="BU44" s="12">
        <v>27.3</v>
      </c>
      <c r="BV44" s="28">
        <f t="shared" si="22"/>
        <v>3313909.4624999999</v>
      </c>
      <c r="BW44" s="12">
        <v>32.700000000000003</v>
      </c>
      <c r="BX44" s="12">
        <v>15</v>
      </c>
      <c r="BY44" s="28">
        <f t="shared" si="23"/>
        <v>497086.419375</v>
      </c>
      <c r="BZ44" s="12">
        <v>32</v>
      </c>
      <c r="CA44" s="28">
        <f t="shared" si="24"/>
        <v>1060451.0279999999</v>
      </c>
      <c r="CB44" s="12">
        <v>11.3</v>
      </c>
      <c r="CC44" s="28">
        <f t="shared" si="25"/>
        <v>374471.76926250005</v>
      </c>
      <c r="CD44" s="12">
        <v>6</v>
      </c>
      <c r="CE44" s="28">
        <f t="shared" si="26"/>
        <v>198834.56774999999</v>
      </c>
      <c r="CF44" s="12">
        <v>3</v>
      </c>
      <c r="CG44" s="28">
        <f t="shared" si="27"/>
        <v>99417.283874999994</v>
      </c>
      <c r="CH44" s="12">
        <v>8.5</v>
      </c>
      <c r="CI44" s="28">
        <f t="shared" si="28"/>
        <v>103.18033124999999</v>
      </c>
      <c r="CJ44" s="12">
        <v>10.5</v>
      </c>
      <c r="CK44" s="12">
        <v>47.3</v>
      </c>
      <c r="CL44" s="28">
        <f t="shared" si="29"/>
        <v>488042.96681249997</v>
      </c>
      <c r="CM44" s="12">
        <v>13.3</v>
      </c>
      <c r="CN44" s="28">
        <f t="shared" si="30"/>
        <v>13.722984056250001</v>
      </c>
      <c r="CO44" s="12">
        <v>28.9</v>
      </c>
      <c r="CP44" s="28">
        <f t="shared" si="31"/>
        <v>29.819115731249997</v>
      </c>
      <c r="CQ44" s="12">
        <v>11.7</v>
      </c>
      <c r="CR44" s="28">
        <f t="shared" si="34"/>
        <v>300.10499999999996</v>
      </c>
      <c r="CS44" s="12">
        <v>0.52</v>
      </c>
      <c r="CT44" s="28">
        <f t="shared" si="35"/>
        <v>13.337999999999999</v>
      </c>
      <c r="CU44" s="27">
        <v>45918</v>
      </c>
      <c r="CV44" s="11">
        <v>1</v>
      </c>
      <c r="CW44" s="11">
        <v>66</v>
      </c>
      <c r="CX44" s="11">
        <v>3</v>
      </c>
      <c r="CY44" s="11">
        <v>2</v>
      </c>
      <c r="CZ44" s="11" t="s">
        <v>283</v>
      </c>
      <c r="DA44" s="11">
        <v>0</v>
      </c>
      <c r="DB44" s="11" t="s">
        <v>157</v>
      </c>
      <c r="DC44" s="11">
        <v>0.39</v>
      </c>
      <c r="DD44" s="11">
        <v>311</v>
      </c>
      <c r="DE44" s="11">
        <v>226</v>
      </c>
      <c r="DF44" s="11">
        <v>35</v>
      </c>
      <c r="DG44" s="11">
        <v>6197</v>
      </c>
      <c r="DH44" s="11">
        <v>0.05</v>
      </c>
      <c r="DI44" s="11">
        <v>0.73</v>
      </c>
      <c r="DJ44" s="11">
        <v>490</v>
      </c>
      <c r="DK44" s="11">
        <v>20.43</v>
      </c>
      <c r="DL44" s="11" t="s">
        <v>96</v>
      </c>
      <c r="DM44" s="11">
        <v>27</v>
      </c>
      <c r="DN44" s="11">
        <v>1</v>
      </c>
      <c r="DO44" s="11">
        <v>0.5</v>
      </c>
      <c r="DP44" s="11">
        <v>0.5</v>
      </c>
      <c r="DQ44" s="11">
        <v>0</v>
      </c>
      <c r="DR44" s="11">
        <v>0.5</v>
      </c>
      <c r="DS44" s="11">
        <v>0</v>
      </c>
      <c r="DT44" s="11">
        <v>0</v>
      </c>
      <c r="DU44" s="11">
        <v>0</v>
      </c>
      <c r="DV44" s="11">
        <v>376</v>
      </c>
      <c r="DW44" s="11">
        <v>68</v>
      </c>
      <c r="DX44" s="11">
        <v>2</v>
      </c>
      <c r="DY44" s="11"/>
      <c r="DZ44" s="11"/>
      <c r="EA44" s="11"/>
      <c r="EB44" s="11">
        <v>1</v>
      </c>
      <c r="EC44" s="6">
        <v>0</v>
      </c>
      <c r="ED44" s="6">
        <v>1</v>
      </c>
      <c r="EE44" s="6">
        <v>0</v>
      </c>
      <c r="EF44" s="6">
        <v>0</v>
      </c>
      <c r="EG44" s="6">
        <v>0</v>
      </c>
      <c r="EH44" s="6">
        <v>1</v>
      </c>
      <c r="EI44" s="6">
        <v>0</v>
      </c>
      <c r="EJ44" s="6">
        <v>0</v>
      </c>
      <c r="EK44" s="6">
        <v>0</v>
      </c>
      <c r="EL44" s="6">
        <v>1</v>
      </c>
      <c r="EM44" s="6">
        <v>0</v>
      </c>
      <c r="EN44" s="6">
        <v>1</v>
      </c>
      <c r="EO44" s="6">
        <v>0</v>
      </c>
      <c r="EP44" s="6">
        <v>1</v>
      </c>
      <c r="EQ44" s="6">
        <v>1</v>
      </c>
      <c r="ER44" s="6">
        <v>0</v>
      </c>
      <c r="ES44" s="6">
        <v>0</v>
      </c>
      <c r="ET44" s="6">
        <v>0</v>
      </c>
      <c r="EU44" s="11"/>
      <c r="EV44" s="4"/>
      <c r="EW44" s="4"/>
      <c r="EX44" s="4"/>
    </row>
    <row r="45" spans="1:154" s="5" customFormat="1" ht="15.75" customHeight="1">
      <c r="A45" s="12">
        <v>66</v>
      </c>
      <c r="B45" s="12">
        <v>7041987</v>
      </c>
      <c r="C45" s="12" t="s">
        <v>50</v>
      </c>
      <c r="D45" s="12" t="s">
        <v>147</v>
      </c>
      <c r="E45" s="12">
        <v>3365498</v>
      </c>
      <c r="F45" s="12">
        <v>3083718</v>
      </c>
      <c r="G45" s="12">
        <v>3.66</v>
      </c>
      <c r="H45" s="12">
        <v>36.799999999999997</v>
      </c>
      <c r="I45" s="12">
        <v>11.9</v>
      </c>
      <c r="J45" s="12">
        <v>260</v>
      </c>
      <c r="K45" s="12">
        <v>5.86</v>
      </c>
      <c r="L45" s="12">
        <v>74.34</v>
      </c>
      <c r="M45" s="12">
        <v>0.56999999999999995</v>
      </c>
      <c r="N45" s="12">
        <v>7.2</v>
      </c>
      <c r="O45" s="12">
        <v>0.04</v>
      </c>
      <c r="P45" s="12">
        <v>0.52</v>
      </c>
      <c r="Q45" s="12">
        <v>0.1</v>
      </c>
      <c r="R45" s="12">
        <v>1.31</v>
      </c>
      <c r="S45" s="12">
        <v>1.31</v>
      </c>
      <c r="T45" s="12">
        <v>16.63</v>
      </c>
      <c r="U45" s="12">
        <v>1705</v>
      </c>
      <c r="V45" s="12">
        <v>5.3</v>
      </c>
      <c r="W45" s="28">
        <f t="shared" si="0"/>
        <v>90.364999999999995</v>
      </c>
      <c r="X45" s="12">
        <v>45.8</v>
      </c>
      <c r="Y45" s="28">
        <f t="shared" si="1"/>
        <v>780.89</v>
      </c>
      <c r="Z45" s="12">
        <v>51.6</v>
      </c>
      <c r="AA45" s="28">
        <f t="shared" si="2"/>
        <v>879.78</v>
      </c>
      <c r="AB45" s="12">
        <v>30.2</v>
      </c>
      <c r="AC45" s="28">
        <f t="shared" si="3"/>
        <v>514.91</v>
      </c>
      <c r="AD45" s="12">
        <v>21</v>
      </c>
      <c r="AE45" s="29">
        <f t="shared" si="4"/>
        <v>358.05</v>
      </c>
      <c r="AF45" s="30">
        <v>0.4</v>
      </c>
      <c r="AG45" s="29">
        <f t="shared" si="5"/>
        <v>6.82</v>
      </c>
      <c r="AH45" s="30">
        <v>78.900000000000006</v>
      </c>
      <c r="AI45" s="28">
        <f t="shared" si="6"/>
        <v>1345.2449999999999</v>
      </c>
      <c r="AJ45" s="30">
        <v>37.200000000000003</v>
      </c>
      <c r="AK45" s="28">
        <f t="shared" si="7"/>
        <v>500.43114000000003</v>
      </c>
      <c r="AL45" s="12">
        <v>44.3</v>
      </c>
      <c r="AM45" s="28">
        <f t="shared" si="8"/>
        <v>221.69099502</v>
      </c>
      <c r="AN45" s="12">
        <v>39.5</v>
      </c>
      <c r="AO45" s="28">
        <f t="shared" si="9"/>
        <v>197.67030030000001</v>
      </c>
      <c r="AP45" s="12">
        <v>11.8</v>
      </c>
      <c r="AQ45" s="28">
        <f t="shared" si="10"/>
        <v>59.050874520000008</v>
      </c>
      <c r="AR45" s="12">
        <v>2.9</v>
      </c>
      <c r="AS45" s="28">
        <f t="shared" si="11"/>
        <v>14.512503060000002</v>
      </c>
      <c r="AT45" s="12">
        <v>60.5</v>
      </c>
      <c r="AU45" s="28">
        <f t="shared" si="12"/>
        <v>813.87322499999993</v>
      </c>
      <c r="AV45" s="12">
        <v>1.6</v>
      </c>
      <c r="AW45" s="28">
        <f t="shared" si="13"/>
        <v>13.021971599999999</v>
      </c>
      <c r="AX45" s="12">
        <v>21.2</v>
      </c>
      <c r="AY45" s="28">
        <f t="shared" si="14"/>
        <v>172.54112369999999</v>
      </c>
      <c r="AZ45" s="12">
        <v>1</v>
      </c>
      <c r="BA45" s="28">
        <f t="shared" si="15"/>
        <v>8.1387322499999986</v>
      </c>
      <c r="BB45" s="12">
        <v>4.9000000000000004</v>
      </c>
      <c r="BC45" s="28">
        <f t="shared" si="16"/>
        <v>39.879788024999996</v>
      </c>
      <c r="BD45" s="12">
        <v>68.2</v>
      </c>
      <c r="BE45" s="28">
        <f t="shared" si="17"/>
        <v>555.06153944999994</v>
      </c>
      <c r="BF45" s="12">
        <v>0.21</v>
      </c>
      <c r="BG45" s="28">
        <f t="shared" si="18"/>
        <v>2.8250145</v>
      </c>
      <c r="BH45" s="12">
        <v>0.11</v>
      </c>
      <c r="BI45" s="28">
        <f t="shared" si="19"/>
        <v>1.4797695</v>
      </c>
      <c r="BJ45" s="12">
        <v>2</v>
      </c>
      <c r="BK45" s="28">
        <f t="shared" si="20"/>
        <v>26.904899999999998</v>
      </c>
      <c r="BL45" s="12"/>
      <c r="BM45" s="12"/>
      <c r="BN45" s="28"/>
      <c r="BO45" s="12"/>
      <c r="BP45" s="12"/>
      <c r="BQ45" s="12"/>
      <c r="BR45" s="12"/>
      <c r="BS45" s="12"/>
      <c r="BT45" s="12"/>
      <c r="BU45" s="12"/>
      <c r="BV45" s="28"/>
      <c r="BW45" s="12"/>
      <c r="BX45" s="12"/>
      <c r="BY45" s="28"/>
      <c r="BZ45" s="12"/>
      <c r="CA45" s="28"/>
      <c r="CB45" s="12"/>
      <c r="CC45" s="28"/>
      <c r="CD45" s="12"/>
      <c r="CE45" s="28"/>
      <c r="CF45" s="12"/>
      <c r="CG45" s="28"/>
      <c r="CH45" s="12"/>
      <c r="CI45" s="12"/>
      <c r="CJ45" s="12"/>
      <c r="CK45" s="12"/>
      <c r="CL45" s="12"/>
      <c r="CM45" s="12"/>
      <c r="CN45" s="12"/>
      <c r="CO45" s="12"/>
      <c r="CP45" s="12"/>
      <c r="CQ45" s="12">
        <v>13</v>
      </c>
      <c r="CR45" s="28">
        <f t="shared" si="34"/>
        <v>221.65</v>
      </c>
      <c r="CS45" s="12">
        <v>0.51</v>
      </c>
      <c r="CT45" s="28">
        <f t="shared" si="35"/>
        <v>8.6955000000000009</v>
      </c>
      <c r="CU45" s="27">
        <v>45975</v>
      </c>
      <c r="CV45" s="11">
        <v>1</v>
      </c>
      <c r="CW45" s="11">
        <v>72</v>
      </c>
      <c r="CX45" s="11">
        <v>0</v>
      </c>
      <c r="CY45" s="11">
        <v>0</v>
      </c>
      <c r="CZ45" s="11" t="s">
        <v>263</v>
      </c>
      <c r="DA45" s="11">
        <v>0</v>
      </c>
      <c r="DB45" s="11" t="s">
        <v>301</v>
      </c>
      <c r="DC45" s="11">
        <v>0.11</v>
      </c>
      <c r="DD45" s="11">
        <v>1276</v>
      </c>
      <c r="DE45" s="11">
        <v>258</v>
      </c>
      <c r="DF45" s="11">
        <v>31</v>
      </c>
      <c r="DG45" s="11">
        <v>11827</v>
      </c>
      <c r="DH45" s="11">
        <v>0.108</v>
      </c>
      <c r="DI45" s="11">
        <v>0.2</v>
      </c>
      <c r="DJ45" s="11">
        <v>941</v>
      </c>
      <c r="DK45" s="11">
        <v>21.11</v>
      </c>
      <c r="DL45" s="11" t="s">
        <v>95</v>
      </c>
      <c r="DM45" s="11">
        <v>27</v>
      </c>
      <c r="DN45" s="11">
        <v>6</v>
      </c>
      <c r="DO45" s="11">
        <v>1</v>
      </c>
      <c r="DP45" s="11">
        <v>2</v>
      </c>
      <c r="DQ45" s="11">
        <v>0.5</v>
      </c>
      <c r="DR45" s="11">
        <v>1</v>
      </c>
      <c r="DS45" s="11">
        <v>0.5</v>
      </c>
      <c r="DT45" s="11">
        <v>1</v>
      </c>
      <c r="DU45" s="11">
        <v>1</v>
      </c>
      <c r="DV45" s="11">
        <v>432</v>
      </c>
      <c r="DW45" s="11">
        <v>82</v>
      </c>
      <c r="DX45" s="11">
        <v>1</v>
      </c>
      <c r="DY45" s="11"/>
      <c r="DZ45" s="11"/>
      <c r="EA45" s="11"/>
      <c r="EB45" s="11">
        <v>1</v>
      </c>
      <c r="EC45" s="6">
        <v>0</v>
      </c>
      <c r="ED45" s="6">
        <v>1</v>
      </c>
      <c r="EE45" s="6">
        <v>0</v>
      </c>
      <c r="EF45" s="6">
        <v>0</v>
      </c>
      <c r="EG45" s="6">
        <v>0</v>
      </c>
      <c r="EH45" s="6">
        <v>1</v>
      </c>
      <c r="EI45" s="6">
        <v>0</v>
      </c>
      <c r="EJ45" s="6">
        <v>0</v>
      </c>
      <c r="EK45" s="6">
        <v>3</v>
      </c>
      <c r="EL45" s="6">
        <v>1</v>
      </c>
      <c r="EM45" s="6">
        <v>1</v>
      </c>
      <c r="EN45" s="6">
        <v>2</v>
      </c>
      <c r="EO45" s="6">
        <v>0</v>
      </c>
      <c r="EP45" s="6">
        <v>1</v>
      </c>
      <c r="EQ45" s="6">
        <v>1</v>
      </c>
      <c r="ER45" s="6">
        <v>0</v>
      </c>
      <c r="ES45" s="6">
        <v>0</v>
      </c>
      <c r="ET45" s="6">
        <v>0</v>
      </c>
      <c r="EU45" s="11"/>
      <c r="EV45" s="4"/>
      <c r="EW45" s="4"/>
      <c r="EX45" s="4"/>
    </row>
    <row r="46" spans="1:154" s="5" customFormat="1" ht="15.75" customHeight="1">
      <c r="A46" s="12">
        <v>41</v>
      </c>
      <c r="B46" s="12">
        <v>7040742</v>
      </c>
      <c r="C46" s="12" t="s">
        <v>148</v>
      </c>
      <c r="D46" s="12" t="s">
        <v>149</v>
      </c>
      <c r="E46" s="12">
        <v>4705758</v>
      </c>
      <c r="F46" s="12">
        <v>3101978</v>
      </c>
      <c r="G46" s="12">
        <v>4.7699999999999996</v>
      </c>
      <c r="H46" s="12">
        <v>41.5</v>
      </c>
      <c r="I46" s="12">
        <v>13.5</v>
      </c>
      <c r="J46" s="12">
        <v>248</v>
      </c>
      <c r="K46" s="12">
        <v>2.36</v>
      </c>
      <c r="L46" s="12">
        <v>50.25</v>
      </c>
      <c r="M46" s="12">
        <v>0.38</v>
      </c>
      <c r="N46" s="12">
        <v>8.14</v>
      </c>
      <c r="O46" s="12">
        <v>0.11</v>
      </c>
      <c r="P46" s="12">
        <v>2.36</v>
      </c>
      <c r="Q46" s="12">
        <v>0.04</v>
      </c>
      <c r="R46" s="12">
        <v>0.92</v>
      </c>
      <c r="S46" s="12">
        <v>1.8</v>
      </c>
      <c r="T46" s="12">
        <v>38.33</v>
      </c>
      <c r="U46" s="12">
        <v>2238</v>
      </c>
      <c r="V46" s="12">
        <v>15.2</v>
      </c>
      <c r="W46" s="28">
        <f t="shared" si="0"/>
        <v>340.17599999999999</v>
      </c>
      <c r="X46" s="12">
        <v>65</v>
      </c>
      <c r="Y46" s="28">
        <f t="shared" si="1"/>
        <v>1454.7</v>
      </c>
      <c r="Z46" s="12">
        <v>30.4</v>
      </c>
      <c r="AA46" s="28">
        <f t="shared" si="2"/>
        <v>680.35199999999998</v>
      </c>
      <c r="AB46" s="12">
        <v>15.5</v>
      </c>
      <c r="AC46" s="28">
        <f t="shared" si="3"/>
        <v>346.89</v>
      </c>
      <c r="AD46" s="12">
        <v>14.7</v>
      </c>
      <c r="AE46" s="29">
        <f t="shared" si="4"/>
        <v>328.98599999999999</v>
      </c>
      <c r="AF46" s="30">
        <v>0.19</v>
      </c>
      <c r="AG46" s="29">
        <f t="shared" si="5"/>
        <v>4.2522000000000002</v>
      </c>
      <c r="AH46" s="30">
        <v>70.400000000000006</v>
      </c>
      <c r="AI46" s="28">
        <f t="shared" si="6"/>
        <v>1575.5520000000001</v>
      </c>
      <c r="AJ46" s="30">
        <v>59.8</v>
      </c>
      <c r="AK46" s="28">
        <f t="shared" si="7"/>
        <v>942.18009600000005</v>
      </c>
      <c r="AL46" s="12">
        <v>45.5</v>
      </c>
      <c r="AM46" s="28">
        <f t="shared" si="8"/>
        <v>428.69194368000007</v>
      </c>
      <c r="AN46" s="12">
        <v>49.5</v>
      </c>
      <c r="AO46" s="28">
        <f t="shared" si="9"/>
        <v>466.37914752000006</v>
      </c>
      <c r="AP46" s="12">
        <v>4.5</v>
      </c>
      <c r="AQ46" s="28">
        <f t="shared" si="10"/>
        <v>42.398104320000002</v>
      </c>
      <c r="AR46" s="12">
        <v>0.33</v>
      </c>
      <c r="AS46" s="28">
        <f t="shared" si="11"/>
        <v>3.1091943168</v>
      </c>
      <c r="AT46" s="12">
        <v>31.8</v>
      </c>
      <c r="AU46" s="28">
        <f t="shared" si="12"/>
        <v>501.02553600000005</v>
      </c>
      <c r="AV46" s="12">
        <v>15.7</v>
      </c>
      <c r="AW46" s="28">
        <f t="shared" si="13"/>
        <v>78.661009152000005</v>
      </c>
      <c r="AX46" s="12">
        <v>70.3</v>
      </c>
      <c r="AY46" s="28">
        <f t="shared" si="14"/>
        <v>352.22095180800005</v>
      </c>
      <c r="AZ46" s="12">
        <v>2.2000000000000002</v>
      </c>
      <c r="BA46" s="28">
        <f t="shared" si="15"/>
        <v>11.022561792000001</v>
      </c>
      <c r="BB46" s="12">
        <v>6.2</v>
      </c>
      <c r="BC46" s="28">
        <f t="shared" si="16"/>
        <v>31.063583232000006</v>
      </c>
      <c r="BD46" s="12">
        <v>5.6</v>
      </c>
      <c r="BE46" s="28">
        <f t="shared" si="17"/>
        <v>28.057430016000001</v>
      </c>
      <c r="BF46" s="12">
        <v>5.2</v>
      </c>
      <c r="BG46" s="28">
        <f t="shared" si="18"/>
        <v>81.92870400000001</v>
      </c>
      <c r="BH46" s="12">
        <v>0.56000000000000005</v>
      </c>
      <c r="BI46" s="28">
        <f t="shared" si="19"/>
        <v>8.8230912000000004</v>
      </c>
      <c r="BJ46" s="12">
        <v>2.6</v>
      </c>
      <c r="BK46" s="28">
        <f t="shared" si="20"/>
        <v>40.964352000000005</v>
      </c>
      <c r="BL46" s="12">
        <v>13.9</v>
      </c>
      <c r="BM46" s="12"/>
      <c r="BN46" s="28">
        <f t="shared" si="21"/>
        <v>130.96303334400002</v>
      </c>
      <c r="BO46" s="12">
        <v>53.4</v>
      </c>
      <c r="BP46" s="12">
        <v>19.3</v>
      </c>
      <c r="BQ46" s="12">
        <v>21.7</v>
      </c>
      <c r="BR46" s="12">
        <v>21.9</v>
      </c>
      <c r="BS46" s="12">
        <v>21.3</v>
      </c>
      <c r="BT46" s="12">
        <v>11.9</v>
      </c>
      <c r="BU46" s="12">
        <v>40.200000000000003</v>
      </c>
      <c r="BV46" s="28">
        <f t="shared" si="22"/>
        <v>3787563.9859200004</v>
      </c>
      <c r="BW46" s="12">
        <v>25.8</v>
      </c>
      <c r="BX46" s="12">
        <v>26.2</v>
      </c>
      <c r="BY46" s="28">
        <f t="shared" si="23"/>
        <v>992341.76431104005</v>
      </c>
      <c r="BZ46" s="12">
        <v>8.6</v>
      </c>
      <c r="CA46" s="28">
        <f t="shared" si="24"/>
        <v>325730.50278912002</v>
      </c>
      <c r="CB46" s="12">
        <v>22</v>
      </c>
      <c r="CC46" s="28">
        <f t="shared" si="25"/>
        <v>833264.07690240012</v>
      </c>
      <c r="CD46" s="12">
        <v>6.6</v>
      </c>
      <c r="CE46" s="28">
        <f t="shared" si="26"/>
        <v>249979.22307072004</v>
      </c>
      <c r="CF46" s="12">
        <v>10.8</v>
      </c>
      <c r="CG46" s="28">
        <f t="shared" si="27"/>
        <v>409056.91047936009</v>
      </c>
      <c r="CH46" s="12">
        <v>11.1</v>
      </c>
      <c r="CI46" s="28">
        <f t="shared" si="28"/>
        <v>104.581990656</v>
      </c>
      <c r="CJ46" s="12">
        <v>11.6</v>
      </c>
      <c r="CK46" s="12">
        <v>33.799999999999997</v>
      </c>
      <c r="CL46" s="28">
        <f t="shared" si="29"/>
        <v>353487.12841727998</v>
      </c>
      <c r="CM46" s="12">
        <v>15</v>
      </c>
      <c r="CN46" s="28">
        <f t="shared" si="30"/>
        <v>15.6872985984</v>
      </c>
      <c r="CO46" s="12">
        <v>39.6</v>
      </c>
      <c r="CP46" s="28">
        <f t="shared" si="31"/>
        <v>41.414468299775997</v>
      </c>
      <c r="CQ46" s="12">
        <v>11.3</v>
      </c>
      <c r="CR46" s="28">
        <f t="shared" si="34"/>
        <v>252.89400000000001</v>
      </c>
      <c r="CS46" s="12">
        <v>4.2000000000000003E-2</v>
      </c>
      <c r="CT46" s="28">
        <f t="shared" si="35"/>
        <v>0.93996000000000013</v>
      </c>
      <c r="CU46" s="27">
        <v>45911</v>
      </c>
      <c r="CV46" s="11">
        <v>1</v>
      </c>
      <c r="CW46" s="11">
        <v>62</v>
      </c>
      <c r="CX46" s="11">
        <v>2</v>
      </c>
      <c r="CY46" s="11">
        <v>1</v>
      </c>
      <c r="CZ46" s="11" t="s">
        <v>93</v>
      </c>
      <c r="DA46" s="11">
        <v>1</v>
      </c>
      <c r="DB46" s="11" t="s">
        <v>299</v>
      </c>
      <c r="DC46" s="11">
        <v>0.16</v>
      </c>
      <c r="DD46" s="11">
        <v>524</v>
      </c>
      <c r="DE46" s="11">
        <v>196</v>
      </c>
      <c r="DF46" s="11">
        <v>29</v>
      </c>
      <c r="DG46" s="11">
        <v>8524</v>
      </c>
      <c r="DH46" s="11">
        <v>5.0999999999999997E-2</v>
      </c>
      <c r="DI46" s="11">
        <v>0.37</v>
      </c>
      <c r="DJ46" s="11">
        <v>317</v>
      </c>
      <c r="DK46" s="11">
        <v>50.25</v>
      </c>
      <c r="DL46" s="11" t="s">
        <v>95</v>
      </c>
      <c r="DM46" s="11">
        <v>24</v>
      </c>
      <c r="DN46" s="11">
        <v>1.5</v>
      </c>
      <c r="DO46" s="11">
        <v>0.5</v>
      </c>
      <c r="DP46" s="11">
        <v>0.5</v>
      </c>
      <c r="DQ46" s="11">
        <v>0.5</v>
      </c>
      <c r="DR46" s="11">
        <v>0.5</v>
      </c>
      <c r="DS46" s="11">
        <v>0</v>
      </c>
      <c r="DT46" s="11">
        <v>0</v>
      </c>
      <c r="DU46" s="11">
        <v>0</v>
      </c>
      <c r="DV46" s="11">
        <v>401</v>
      </c>
      <c r="DW46" s="11">
        <v>75</v>
      </c>
      <c r="DX46" s="11">
        <v>0</v>
      </c>
      <c r="DY46" s="11"/>
      <c r="DZ46" s="11"/>
      <c r="EA46" s="11"/>
      <c r="EB46" s="11">
        <v>0</v>
      </c>
      <c r="EC46" s="6">
        <v>0</v>
      </c>
      <c r="ED46" s="6">
        <v>1</v>
      </c>
      <c r="EE46" s="6">
        <v>0</v>
      </c>
      <c r="EF46" s="6">
        <v>0</v>
      </c>
      <c r="EG46" s="6">
        <v>0</v>
      </c>
      <c r="EH46" s="6">
        <v>1</v>
      </c>
      <c r="EI46" s="6">
        <v>0</v>
      </c>
      <c r="EJ46" s="6">
        <v>0</v>
      </c>
      <c r="EK46" s="6">
        <v>1</v>
      </c>
      <c r="EL46" s="6">
        <v>1</v>
      </c>
      <c r="EM46" s="6">
        <v>1</v>
      </c>
      <c r="EN46" s="6">
        <v>1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11"/>
      <c r="EV46" s="4"/>
      <c r="EW46" s="4"/>
      <c r="EX46" s="4"/>
    </row>
    <row r="47" spans="1:154" s="5" customFormat="1" ht="15.75" customHeight="1">
      <c r="A47" s="12">
        <v>4</v>
      </c>
      <c r="B47" s="12">
        <v>7039181</v>
      </c>
      <c r="C47" s="12" t="s">
        <v>158</v>
      </c>
      <c r="D47" s="12" t="s">
        <v>159</v>
      </c>
      <c r="E47" s="12">
        <v>3050002</v>
      </c>
      <c r="F47" s="12">
        <v>3152813</v>
      </c>
      <c r="G47" s="12">
        <v>4.33</v>
      </c>
      <c r="H47" s="12">
        <v>40.4</v>
      </c>
      <c r="I47" s="12">
        <v>13.4</v>
      </c>
      <c r="J47" s="12">
        <v>208</v>
      </c>
      <c r="K47" s="12">
        <v>3.25</v>
      </c>
      <c r="L47" s="12">
        <v>6.23</v>
      </c>
      <c r="M47" s="12">
        <v>0.45</v>
      </c>
      <c r="N47" s="12">
        <v>8.3800000000000008</v>
      </c>
      <c r="O47" s="12">
        <v>0.1</v>
      </c>
      <c r="P47" s="12">
        <v>1.76</v>
      </c>
      <c r="Q47" s="12">
        <v>0.05</v>
      </c>
      <c r="R47" s="12">
        <v>0.84</v>
      </c>
      <c r="S47" s="12">
        <v>1.56</v>
      </c>
      <c r="T47" s="12">
        <v>28.79</v>
      </c>
      <c r="U47" s="12">
        <v>1679</v>
      </c>
      <c r="V47" s="12">
        <v>8.9</v>
      </c>
      <c r="W47" s="28">
        <f t="shared" si="0"/>
        <v>149.43100000000001</v>
      </c>
      <c r="X47" s="12">
        <v>80.7</v>
      </c>
      <c r="Y47" s="28">
        <f t="shared" si="1"/>
        <v>1354.9530000000002</v>
      </c>
      <c r="Z47" s="12">
        <v>19</v>
      </c>
      <c r="AA47" s="28">
        <f t="shared" si="2"/>
        <v>319.01</v>
      </c>
      <c r="AB47" s="12">
        <v>14.6</v>
      </c>
      <c r="AC47" s="28">
        <f t="shared" si="3"/>
        <v>245.13399999999999</v>
      </c>
      <c r="AD47" s="12">
        <v>4.3</v>
      </c>
      <c r="AE47" s="29">
        <f t="shared" si="4"/>
        <v>72.197000000000003</v>
      </c>
      <c r="AF47" s="30"/>
      <c r="AG47" s="29">
        <f t="shared" si="5"/>
        <v>0</v>
      </c>
      <c r="AH47" s="30">
        <v>68</v>
      </c>
      <c r="AI47" s="28">
        <f t="shared" si="6"/>
        <v>1141.72</v>
      </c>
      <c r="AJ47" s="30">
        <v>74.900000000000006</v>
      </c>
      <c r="AK47" s="28">
        <f t="shared" si="7"/>
        <v>855.14828000000011</v>
      </c>
      <c r="AL47" s="12">
        <v>66.099999999999994</v>
      </c>
      <c r="AM47" s="28">
        <f t="shared" si="8"/>
        <v>565.25301308000007</v>
      </c>
      <c r="AN47" s="12">
        <v>29.3</v>
      </c>
      <c r="AO47" s="28">
        <f t="shared" si="9"/>
        <v>250.55844604000006</v>
      </c>
      <c r="AP47" s="12">
        <v>3.7</v>
      </c>
      <c r="AQ47" s="28">
        <f t="shared" si="10"/>
        <v>31.640486360000004</v>
      </c>
      <c r="AR47" s="12">
        <v>0.83</v>
      </c>
      <c r="AS47" s="28">
        <f t="shared" si="11"/>
        <v>7.0977307240000007</v>
      </c>
      <c r="AT47" s="12">
        <v>22</v>
      </c>
      <c r="AU47" s="28">
        <f t="shared" si="12"/>
        <v>251.17840000000001</v>
      </c>
      <c r="AV47" s="12">
        <v>10.4</v>
      </c>
      <c r="AW47" s="28">
        <f t="shared" si="13"/>
        <v>26.1225536</v>
      </c>
      <c r="AX47" s="12">
        <v>25.2</v>
      </c>
      <c r="AY47" s="28">
        <f t="shared" si="14"/>
        <v>63.296956799999997</v>
      </c>
      <c r="AZ47" s="12">
        <v>1.8</v>
      </c>
      <c r="BA47" s="28">
        <f t="shared" si="15"/>
        <v>4.5212111999999998</v>
      </c>
      <c r="BB47" s="12">
        <v>4.0999999999999996</v>
      </c>
      <c r="BC47" s="28">
        <f t="shared" si="16"/>
        <v>10.298314399999999</v>
      </c>
      <c r="BD47" s="12">
        <v>58.5</v>
      </c>
      <c r="BE47" s="28">
        <f t="shared" si="17"/>
        <v>146.93936400000001</v>
      </c>
      <c r="BF47" s="12">
        <v>0.57999999999999996</v>
      </c>
      <c r="BG47" s="28">
        <f t="shared" si="18"/>
        <v>6.6219760000000001</v>
      </c>
      <c r="BH47" s="12">
        <v>0.33</v>
      </c>
      <c r="BI47" s="28">
        <f t="shared" si="19"/>
        <v>3.7676760000000002</v>
      </c>
      <c r="BJ47" s="12">
        <v>2.2000000000000002</v>
      </c>
      <c r="BK47" s="28">
        <f t="shared" si="20"/>
        <v>25.117840000000001</v>
      </c>
      <c r="BL47" s="12">
        <v>7</v>
      </c>
      <c r="BM47" s="12"/>
      <c r="BN47" s="28">
        <f t="shared" si="21"/>
        <v>59.860379600000009</v>
      </c>
      <c r="BO47" s="12">
        <v>85.7</v>
      </c>
      <c r="BP47" s="12">
        <v>15.6</v>
      </c>
      <c r="BQ47" s="12">
        <v>32.4</v>
      </c>
      <c r="BR47" s="12">
        <v>1.5</v>
      </c>
      <c r="BS47" s="12">
        <v>0</v>
      </c>
      <c r="BT47" s="12">
        <v>13.4</v>
      </c>
      <c r="BU47" s="12">
        <v>74.5</v>
      </c>
      <c r="BV47" s="28">
        <f t="shared" si="22"/>
        <v>6370854.6860000007</v>
      </c>
      <c r="BW47" s="12">
        <v>41</v>
      </c>
      <c r="BX47" s="12">
        <v>13.7</v>
      </c>
      <c r="BY47" s="28">
        <f t="shared" si="23"/>
        <v>872807.09198200004</v>
      </c>
      <c r="BZ47" s="12">
        <v>20</v>
      </c>
      <c r="CA47" s="28">
        <f t="shared" si="24"/>
        <v>1274170.9372</v>
      </c>
      <c r="CB47" s="12">
        <v>14.7</v>
      </c>
      <c r="CC47" s="28">
        <f t="shared" si="25"/>
        <v>936515.63884200004</v>
      </c>
      <c r="CD47" s="12">
        <v>8.1999999999999993</v>
      </c>
      <c r="CE47" s="28">
        <f t="shared" si="26"/>
        <v>522410.08425200003</v>
      </c>
      <c r="CF47" s="12">
        <v>2.4</v>
      </c>
      <c r="CG47" s="28">
        <f t="shared" si="27"/>
        <v>152900.512464</v>
      </c>
      <c r="CH47" s="12">
        <v>25.5</v>
      </c>
      <c r="CI47" s="28">
        <f t="shared" si="28"/>
        <v>218.06281140000002</v>
      </c>
      <c r="CJ47" s="12">
        <v>4.5</v>
      </c>
      <c r="CK47" s="12">
        <v>30.2</v>
      </c>
      <c r="CL47" s="28">
        <f t="shared" si="29"/>
        <v>658549.69042800006</v>
      </c>
      <c r="CM47" s="12">
        <v>27.3</v>
      </c>
      <c r="CN47" s="28">
        <f t="shared" si="30"/>
        <v>59.531147512200008</v>
      </c>
      <c r="CO47" s="12">
        <v>38</v>
      </c>
      <c r="CP47" s="28">
        <f t="shared" si="31"/>
        <v>82.863868331999996</v>
      </c>
      <c r="CQ47" s="12">
        <v>18.2</v>
      </c>
      <c r="CR47" s="28">
        <f t="shared" si="34"/>
        <v>305.57799999999997</v>
      </c>
      <c r="CS47" s="12">
        <v>1.3</v>
      </c>
      <c r="CT47" s="28">
        <f t="shared" si="35"/>
        <v>21.827000000000002</v>
      </c>
      <c r="CU47" s="27">
        <v>45822</v>
      </c>
      <c r="CV47" s="11">
        <v>1</v>
      </c>
      <c r="CW47" s="11">
        <v>63</v>
      </c>
      <c r="CX47" s="11">
        <v>0</v>
      </c>
      <c r="CY47" s="11">
        <v>0</v>
      </c>
      <c r="CZ47" s="11" t="s">
        <v>263</v>
      </c>
      <c r="DA47" s="11">
        <v>0</v>
      </c>
      <c r="DB47" s="11" t="s">
        <v>400</v>
      </c>
      <c r="DC47" s="11">
        <v>0.22</v>
      </c>
      <c r="DD47" s="11">
        <v>1210</v>
      </c>
      <c r="DE47" s="11">
        <v>214</v>
      </c>
      <c r="DF47" s="11">
        <v>27</v>
      </c>
      <c r="DG47" s="11">
        <v>10795</v>
      </c>
      <c r="DH47" s="11">
        <v>0.112</v>
      </c>
      <c r="DI47" s="11">
        <v>0.18</v>
      </c>
      <c r="DJ47" s="11">
        <v>323</v>
      </c>
      <c r="DK47" s="11">
        <v>13.63</v>
      </c>
      <c r="DL47" s="11" t="s">
        <v>95</v>
      </c>
      <c r="DM47" s="11">
        <v>29</v>
      </c>
      <c r="DN47" s="11">
        <v>3</v>
      </c>
      <c r="DO47" s="11">
        <v>0.5</v>
      </c>
      <c r="DP47" s="11">
        <v>1</v>
      </c>
      <c r="DQ47" s="11">
        <v>1</v>
      </c>
      <c r="DR47" s="11">
        <v>0.5</v>
      </c>
      <c r="DS47" s="11">
        <v>0.5</v>
      </c>
      <c r="DT47" s="11">
        <v>0</v>
      </c>
      <c r="DU47" s="11">
        <v>0</v>
      </c>
      <c r="DV47" s="11">
        <v>352</v>
      </c>
      <c r="DW47" s="11">
        <v>63</v>
      </c>
      <c r="DX47" s="11">
        <v>1</v>
      </c>
      <c r="DY47" s="11"/>
      <c r="DZ47" s="11"/>
      <c r="EA47" s="11"/>
      <c r="EB47" s="11">
        <v>1</v>
      </c>
      <c r="EC47" s="6">
        <v>0</v>
      </c>
      <c r="ED47" s="6">
        <v>1</v>
      </c>
      <c r="EE47" s="6">
        <v>0</v>
      </c>
      <c r="EF47" s="6">
        <v>0</v>
      </c>
      <c r="EG47" s="6">
        <v>0</v>
      </c>
      <c r="EH47" s="6">
        <v>1</v>
      </c>
      <c r="EI47" s="6">
        <v>0</v>
      </c>
      <c r="EJ47" s="6">
        <v>0</v>
      </c>
      <c r="EK47" s="6">
        <v>1</v>
      </c>
      <c r="EL47" s="6">
        <v>1</v>
      </c>
      <c r="EM47" s="6">
        <v>0</v>
      </c>
      <c r="EN47" s="6">
        <v>2</v>
      </c>
      <c r="EO47" s="6">
        <v>0</v>
      </c>
      <c r="EP47" s="6">
        <v>1</v>
      </c>
      <c r="EQ47" s="6">
        <v>1</v>
      </c>
      <c r="ER47" s="6">
        <v>0</v>
      </c>
      <c r="ES47" s="6">
        <v>0</v>
      </c>
      <c r="ET47" s="6">
        <v>0</v>
      </c>
      <c r="EU47" s="11"/>
      <c r="EV47" s="4"/>
      <c r="EW47" s="4"/>
      <c r="EX47" s="4"/>
    </row>
    <row r="48" spans="1:154" s="5" customFormat="1" ht="15.75" customHeight="1">
      <c r="A48" s="12">
        <v>71</v>
      </c>
      <c r="B48" s="12">
        <v>7042218</v>
      </c>
      <c r="C48" s="12" t="s">
        <v>230</v>
      </c>
      <c r="D48" s="12" t="s">
        <v>231</v>
      </c>
      <c r="E48" s="12">
        <v>3782061</v>
      </c>
      <c r="F48" s="12">
        <v>3161559</v>
      </c>
      <c r="G48" s="12">
        <v>4.04</v>
      </c>
      <c r="H48" s="12">
        <v>37.1</v>
      </c>
      <c r="I48" s="12">
        <v>12.4</v>
      </c>
      <c r="J48" s="12">
        <v>303</v>
      </c>
      <c r="K48" s="12">
        <v>3.99</v>
      </c>
      <c r="L48" s="12">
        <v>56.62</v>
      </c>
      <c r="M48" s="12">
        <v>0.45</v>
      </c>
      <c r="N48" s="12">
        <v>6.33</v>
      </c>
      <c r="O48" s="12">
        <v>0.13</v>
      </c>
      <c r="P48" s="12">
        <v>1.83</v>
      </c>
      <c r="Q48" s="12">
        <v>0.08</v>
      </c>
      <c r="R48" s="12">
        <v>1.1499999999999999</v>
      </c>
      <c r="S48" s="12">
        <v>2.4</v>
      </c>
      <c r="T48" s="12">
        <v>34.07</v>
      </c>
      <c r="U48" s="12">
        <v>2630</v>
      </c>
      <c r="V48" s="12">
        <v>8.3000000000000007</v>
      </c>
      <c r="W48" s="28">
        <f t="shared" si="0"/>
        <v>218.29000000000005</v>
      </c>
      <c r="X48" s="12">
        <v>42.7</v>
      </c>
      <c r="Y48" s="28">
        <f t="shared" si="1"/>
        <v>1123.0100000000002</v>
      </c>
      <c r="Z48" s="12">
        <v>54.1</v>
      </c>
      <c r="AA48" s="28">
        <f t="shared" si="2"/>
        <v>1422.83</v>
      </c>
      <c r="AB48" s="12">
        <v>10.6</v>
      </c>
      <c r="AC48" s="28">
        <f t="shared" si="3"/>
        <v>278.77999999999997</v>
      </c>
      <c r="AD48" s="12">
        <v>42.9</v>
      </c>
      <c r="AE48" s="29">
        <f t="shared" si="4"/>
        <v>1128.27</v>
      </c>
      <c r="AF48" s="30">
        <v>0.63</v>
      </c>
      <c r="AG48" s="29">
        <f t="shared" si="5"/>
        <v>16.569000000000003</v>
      </c>
      <c r="AH48" s="30">
        <v>83</v>
      </c>
      <c r="AI48" s="28">
        <f t="shared" si="6"/>
        <v>2182.9</v>
      </c>
      <c r="AJ48" s="30">
        <v>67.8</v>
      </c>
      <c r="AK48" s="28">
        <f t="shared" si="7"/>
        <v>1480.0062</v>
      </c>
      <c r="AL48" s="12">
        <v>38</v>
      </c>
      <c r="AM48" s="28">
        <f t="shared" si="8"/>
        <v>562.40235600000005</v>
      </c>
      <c r="AN48" s="12">
        <v>53.8</v>
      </c>
      <c r="AO48" s="28">
        <f t="shared" si="9"/>
        <v>796.24333560000002</v>
      </c>
      <c r="AP48" s="12">
        <v>6.6</v>
      </c>
      <c r="AQ48" s="28">
        <f t="shared" si="10"/>
        <v>97.6804092</v>
      </c>
      <c r="AR48" s="12">
        <v>1.6</v>
      </c>
      <c r="AS48" s="28">
        <f t="shared" si="11"/>
        <v>23.680099200000001</v>
      </c>
      <c r="AT48" s="12">
        <v>29.1</v>
      </c>
      <c r="AU48" s="28">
        <f t="shared" si="12"/>
        <v>635.22390000000007</v>
      </c>
      <c r="AV48" s="12">
        <v>3.8</v>
      </c>
      <c r="AW48" s="28">
        <f t="shared" si="13"/>
        <v>24.1385082</v>
      </c>
      <c r="AX48" s="12">
        <v>38.4</v>
      </c>
      <c r="AY48" s="28">
        <f t="shared" si="14"/>
        <v>243.92597760000001</v>
      </c>
      <c r="AZ48" s="12">
        <v>1.4</v>
      </c>
      <c r="BA48" s="28">
        <f t="shared" si="15"/>
        <v>8.8931346000000016</v>
      </c>
      <c r="BB48" s="12">
        <v>31.2</v>
      </c>
      <c r="BC48" s="28">
        <f t="shared" si="16"/>
        <v>198.18985680000003</v>
      </c>
      <c r="BD48" s="12">
        <v>25.2</v>
      </c>
      <c r="BE48" s="28">
        <f t="shared" si="17"/>
        <v>160.07642280000002</v>
      </c>
      <c r="BF48" s="12">
        <v>0.15</v>
      </c>
      <c r="BG48" s="28">
        <f t="shared" si="18"/>
        <v>3.2743500000000001</v>
      </c>
      <c r="BH48" s="12">
        <v>0.62</v>
      </c>
      <c r="BI48" s="28">
        <f t="shared" si="19"/>
        <v>13.533980000000001</v>
      </c>
      <c r="BJ48" s="12">
        <v>2.2999999999999998</v>
      </c>
      <c r="BK48" s="28">
        <f t="shared" si="20"/>
        <v>50.206699999999998</v>
      </c>
      <c r="BL48" s="12">
        <v>6.8</v>
      </c>
      <c r="BM48" s="12"/>
      <c r="BN48" s="28">
        <f t="shared" si="21"/>
        <v>100.64042160000001</v>
      </c>
      <c r="BO48" s="12">
        <v>61.2</v>
      </c>
      <c r="BP48" s="12">
        <v>28.1</v>
      </c>
      <c r="BQ48" s="12">
        <v>13.6</v>
      </c>
      <c r="BR48" s="12">
        <v>25.5</v>
      </c>
      <c r="BS48" s="12">
        <v>11.9</v>
      </c>
      <c r="BT48" s="12">
        <v>7.2</v>
      </c>
      <c r="BU48" s="12">
        <v>36.700000000000003</v>
      </c>
      <c r="BV48" s="28">
        <f t="shared" si="22"/>
        <v>5431622.7540000007</v>
      </c>
      <c r="BW48" s="12">
        <v>29.4</v>
      </c>
      <c r="BX48" s="12">
        <v>23.9</v>
      </c>
      <c r="BY48" s="28">
        <f t="shared" si="23"/>
        <v>1298157.8382059999</v>
      </c>
      <c r="BZ48" s="12">
        <v>20</v>
      </c>
      <c r="CA48" s="28">
        <f t="shared" si="24"/>
        <v>1086324.5508000001</v>
      </c>
      <c r="CB48" s="12">
        <v>11.9</v>
      </c>
      <c r="CC48" s="28">
        <f t="shared" si="25"/>
        <v>646363.10772600013</v>
      </c>
      <c r="CD48" s="12">
        <v>12</v>
      </c>
      <c r="CE48" s="28">
        <f t="shared" si="26"/>
        <v>651794.73048000003</v>
      </c>
      <c r="CF48" s="12">
        <v>2.8</v>
      </c>
      <c r="CG48" s="28">
        <f t="shared" si="27"/>
        <v>152085.43711200001</v>
      </c>
      <c r="CH48" s="12">
        <v>10.8</v>
      </c>
      <c r="CI48" s="28">
        <f t="shared" si="28"/>
        <v>159.84066960000001</v>
      </c>
      <c r="CJ48" s="12">
        <v>14.4</v>
      </c>
      <c r="CK48" s="12">
        <v>34.1</v>
      </c>
      <c r="CL48" s="28">
        <f t="shared" si="29"/>
        <v>545056.68333600007</v>
      </c>
      <c r="CM48" s="12">
        <v>18.600000000000001</v>
      </c>
      <c r="CN48" s="28">
        <f t="shared" si="30"/>
        <v>29.730364545600004</v>
      </c>
      <c r="CO48" s="12">
        <v>32.9</v>
      </c>
      <c r="CP48" s="28">
        <f t="shared" si="31"/>
        <v>52.587580298399999</v>
      </c>
      <c r="CQ48" s="12">
        <v>4.0999999999999996</v>
      </c>
      <c r="CR48" s="28">
        <f t="shared" si="34"/>
        <v>107.82999999999998</v>
      </c>
      <c r="CS48" s="12">
        <v>5.6000000000000001E-2</v>
      </c>
      <c r="CT48" s="28">
        <f t="shared" si="35"/>
        <v>1.4728000000000001</v>
      </c>
      <c r="CU48" s="39">
        <v>45988</v>
      </c>
      <c r="CV48" s="4">
        <v>1</v>
      </c>
      <c r="CW48" s="4">
        <v>62</v>
      </c>
      <c r="CX48" s="4">
        <v>2</v>
      </c>
      <c r="CY48" s="4">
        <v>1</v>
      </c>
      <c r="CZ48" s="4" t="s">
        <v>93</v>
      </c>
      <c r="DA48" s="4">
        <v>1</v>
      </c>
      <c r="DB48" s="4" t="s">
        <v>215</v>
      </c>
      <c r="DC48" s="4">
        <v>0.47</v>
      </c>
      <c r="DD48" s="4">
        <v>512</v>
      </c>
      <c r="DE48" s="4">
        <v>893</v>
      </c>
      <c r="DF48" s="4">
        <v>126</v>
      </c>
      <c r="DG48" s="4">
        <v>14108</v>
      </c>
      <c r="DH48" s="4">
        <v>3.5999999999999997E-2</v>
      </c>
      <c r="DI48" s="4">
        <v>1.74</v>
      </c>
      <c r="DJ48" s="4">
        <v>850</v>
      </c>
      <c r="DK48" s="4">
        <v>13.67</v>
      </c>
      <c r="DL48" s="11" t="s">
        <v>95</v>
      </c>
      <c r="DM48" s="4">
        <v>29</v>
      </c>
      <c r="DN48" s="4">
        <v>1.5</v>
      </c>
      <c r="DO48" s="4">
        <v>0.5</v>
      </c>
      <c r="DP48" s="4">
        <v>0.5</v>
      </c>
      <c r="DQ48" s="4">
        <v>0.5</v>
      </c>
      <c r="DR48" s="4">
        <v>0.5</v>
      </c>
      <c r="DS48" s="4">
        <v>0</v>
      </c>
      <c r="DT48" s="4">
        <v>0</v>
      </c>
      <c r="DU48" s="4">
        <v>0</v>
      </c>
      <c r="DV48" s="4">
        <v>453</v>
      </c>
      <c r="DW48" s="4">
        <v>86</v>
      </c>
      <c r="DX48" s="4"/>
      <c r="DY48" s="4"/>
      <c r="DZ48" s="4"/>
      <c r="EA48" s="4"/>
      <c r="EB48" s="4">
        <v>1</v>
      </c>
      <c r="EC48" s="6">
        <v>0</v>
      </c>
      <c r="ED48" s="6">
        <v>1</v>
      </c>
      <c r="EE48" s="6">
        <v>0</v>
      </c>
      <c r="EF48" s="6">
        <v>0</v>
      </c>
      <c r="EG48" s="6">
        <v>0</v>
      </c>
      <c r="EH48" s="6">
        <v>1</v>
      </c>
      <c r="EI48" s="6">
        <v>0</v>
      </c>
      <c r="EJ48" s="6">
        <v>0</v>
      </c>
      <c r="EK48" s="6">
        <v>1</v>
      </c>
      <c r="EL48" s="6">
        <v>1</v>
      </c>
      <c r="EM48" s="6">
        <v>1</v>
      </c>
      <c r="EN48" s="6">
        <v>2</v>
      </c>
      <c r="EO48" s="6">
        <v>0</v>
      </c>
      <c r="EP48" s="6">
        <v>1</v>
      </c>
      <c r="EQ48" s="6">
        <v>1</v>
      </c>
      <c r="ER48" s="6">
        <v>0</v>
      </c>
      <c r="ES48" s="6">
        <v>0</v>
      </c>
      <c r="ET48" s="6">
        <v>0</v>
      </c>
      <c r="EU48" s="4"/>
      <c r="EV48" s="4"/>
      <c r="EW48" s="4"/>
      <c r="EX48" s="4"/>
    </row>
    <row r="49" spans="1:154" s="5" customFormat="1" ht="15.75" customHeight="1">
      <c r="A49" s="12">
        <v>33</v>
      </c>
      <c r="B49" s="12">
        <v>7040336</v>
      </c>
      <c r="C49" s="12" t="s">
        <v>160</v>
      </c>
      <c r="D49" s="12" t="s">
        <v>161</v>
      </c>
      <c r="E49" s="12">
        <v>3112115</v>
      </c>
      <c r="F49" s="12">
        <v>3176787</v>
      </c>
      <c r="G49" s="12">
        <v>4.6900000000000004</v>
      </c>
      <c r="H49" s="12">
        <v>41.3</v>
      </c>
      <c r="I49" s="12">
        <v>13.5</v>
      </c>
      <c r="J49" s="12">
        <v>168</v>
      </c>
      <c r="K49" s="12">
        <v>2.85</v>
      </c>
      <c r="L49" s="12">
        <v>59.09</v>
      </c>
      <c r="M49" s="12">
        <v>0.45</v>
      </c>
      <c r="N49" s="12">
        <v>9.33</v>
      </c>
      <c r="O49" s="12">
        <v>0.15</v>
      </c>
      <c r="P49" s="12">
        <v>3.1</v>
      </c>
      <c r="Q49" s="12">
        <v>0.03</v>
      </c>
      <c r="R49" s="12">
        <v>0.69</v>
      </c>
      <c r="S49" s="12">
        <v>1.34</v>
      </c>
      <c r="T49" s="12">
        <v>27.79</v>
      </c>
      <c r="U49" s="12">
        <v>1585</v>
      </c>
      <c r="V49" s="12">
        <v>8.4</v>
      </c>
      <c r="W49" s="28">
        <f t="shared" si="0"/>
        <v>133.13999999999999</v>
      </c>
      <c r="X49" s="12">
        <v>36.4</v>
      </c>
      <c r="Y49" s="28">
        <f t="shared" si="1"/>
        <v>576.94000000000005</v>
      </c>
      <c r="Z49" s="12">
        <v>62.5</v>
      </c>
      <c r="AA49" s="28">
        <f t="shared" si="2"/>
        <v>990.625</v>
      </c>
      <c r="AB49" s="12">
        <v>47.4</v>
      </c>
      <c r="AC49" s="28">
        <f t="shared" si="3"/>
        <v>751.29</v>
      </c>
      <c r="AD49" s="12">
        <v>14.7</v>
      </c>
      <c r="AE49" s="29">
        <f t="shared" si="4"/>
        <v>232.995</v>
      </c>
      <c r="AF49" s="30">
        <v>0.44</v>
      </c>
      <c r="AG49" s="29">
        <f t="shared" si="5"/>
        <v>6.9740000000000002</v>
      </c>
      <c r="AH49" s="30">
        <v>82.7</v>
      </c>
      <c r="AI49" s="28">
        <f t="shared" si="6"/>
        <v>1310.7950000000001</v>
      </c>
      <c r="AJ49" s="30">
        <v>60.4</v>
      </c>
      <c r="AK49" s="28">
        <f t="shared" si="7"/>
        <v>791.72017999999991</v>
      </c>
      <c r="AL49" s="12">
        <v>39.799999999999997</v>
      </c>
      <c r="AM49" s="28">
        <f t="shared" si="8"/>
        <v>315.10463163999992</v>
      </c>
      <c r="AN49" s="12">
        <v>43.4</v>
      </c>
      <c r="AO49" s="28">
        <f t="shared" si="9"/>
        <v>343.60655811999999</v>
      </c>
      <c r="AP49" s="12">
        <v>13.1</v>
      </c>
      <c r="AQ49" s="28">
        <f t="shared" si="10"/>
        <v>103.71534358</v>
      </c>
      <c r="AR49" s="12">
        <v>3.4</v>
      </c>
      <c r="AS49" s="28">
        <f t="shared" si="11"/>
        <v>26.918486119999997</v>
      </c>
      <c r="AT49" s="12">
        <v>36.299999999999997</v>
      </c>
      <c r="AU49" s="28">
        <f t="shared" si="12"/>
        <v>475.81858500000004</v>
      </c>
      <c r="AV49" s="12">
        <v>15.6</v>
      </c>
      <c r="AW49" s="28">
        <f t="shared" si="13"/>
        <v>74.227699260000009</v>
      </c>
      <c r="AX49" s="12">
        <v>22.4</v>
      </c>
      <c r="AY49" s="28">
        <f t="shared" si="14"/>
        <v>106.58336304000001</v>
      </c>
      <c r="AZ49" s="12">
        <v>1.5</v>
      </c>
      <c r="BA49" s="28">
        <f t="shared" si="15"/>
        <v>7.1372787750000013</v>
      </c>
      <c r="BB49" s="12">
        <v>18.8</v>
      </c>
      <c r="BC49" s="28">
        <f t="shared" si="16"/>
        <v>89.453893980000018</v>
      </c>
      <c r="BD49" s="12">
        <v>41.6</v>
      </c>
      <c r="BE49" s="28">
        <f t="shared" si="17"/>
        <v>197.94053136000002</v>
      </c>
      <c r="BF49" s="12">
        <v>0.38</v>
      </c>
      <c r="BG49" s="28">
        <f t="shared" si="18"/>
        <v>4.9810210000000001</v>
      </c>
      <c r="BH49" s="12">
        <v>0.89</v>
      </c>
      <c r="BI49" s="28">
        <f t="shared" si="19"/>
        <v>11.666075500000002</v>
      </c>
      <c r="BJ49" s="12">
        <v>2</v>
      </c>
      <c r="BK49" s="28">
        <f t="shared" si="20"/>
        <v>26.215900000000001</v>
      </c>
      <c r="BL49" s="12">
        <v>9.1</v>
      </c>
      <c r="BM49" s="12"/>
      <c r="BN49" s="28">
        <f t="shared" si="21"/>
        <v>72.046536379999992</v>
      </c>
      <c r="BO49" s="12">
        <v>69.900000000000006</v>
      </c>
      <c r="BP49" s="12">
        <v>17.3</v>
      </c>
      <c r="BQ49" s="12">
        <v>17.3</v>
      </c>
      <c r="BR49" s="12">
        <v>23.2</v>
      </c>
      <c r="BS49" s="12">
        <v>19.8</v>
      </c>
      <c r="BT49" s="12">
        <v>11.1</v>
      </c>
      <c r="BU49" s="12">
        <v>34.200000000000003</v>
      </c>
      <c r="BV49" s="28">
        <f t="shared" si="22"/>
        <v>2707683.0156</v>
      </c>
      <c r="BW49" s="12">
        <v>31.5</v>
      </c>
      <c r="BX49" s="12">
        <v>23.8</v>
      </c>
      <c r="BY49" s="28">
        <f t="shared" si="23"/>
        <v>644428.5577128001</v>
      </c>
      <c r="BZ49" s="12">
        <v>21.7</v>
      </c>
      <c r="CA49" s="28">
        <f t="shared" si="24"/>
        <v>587567.21438519994</v>
      </c>
      <c r="CB49" s="12">
        <v>13.4</v>
      </c>
      <c r="CC49" s="28">
        <f t="shared" si="25"/>
        <v>362829.52409040002</v>
      </c>
      <c r="CD49" s="12">
        <v>6</v>
      </c>
      <c r="CE49" s="28">
        <f t="shared" si="26"/>
        <v>162460.98093600001</v>
      </c>
      <c r="CF49" s="12">
        <v>3.6</v>
      </c>
      <c r="CG49" s="28">
        <f t="shared" si="27"/>
        <v>97476.588561600001</v>
      </c>
      <c r="CH49" s="12">
        <v>12.5</v>
      </c>
      <c r="CI49" s="28">
        <f t="shared" si="28"/>
        <v>98.965022499999989</v>
      </c>
      <c r="CJ49" s="12">
        <v>16.7</v>
      </c>
      <c r="CK49" s="12">
        <v>45.2</v>
      </c>
      <c r="CL49" s="28">
        <f t="shared" si="29"/>
        <v>447321.90169999993</v>
      </c>
      <c r="CM49" s="12">
        <v>14.2</v>
      </c>
      <c r="CN49" s="28">
        <f t="shared" si="30"/>
        <v>14.053033194999998</v>
      </c>
      <c r="CO49" s="12">
        <v>23.9</v>
      </c>
      <c r="CP49" s="28">
        <f t="shared" si="31"/>
        <v>23.652640377499996</v>
      </c>
      <c r="CQ49" s="12">
        <v>4.9000000000000004</v>
      </c>
      <c r="CR49" s="28">
        <f t="shared" si="34"/>
        <v>77.665000000000006</v>
      </c>
      <c r="CS49" s="12">
        <v>0</v>
      </c>
      <c r="CT49" s="28">
        <f t="shared" si="35"/>
        <v>0</v>
      </c>
      <c r="CU49" s="27">
        <v>45891</v>
      </c>
      <c r="CV49" s="11">
        <v>1</v>
      </c>
      <c r="CW49" s="11">
        <v>70</v>
      </c>
      <c r="CX49" s="11">
        <v>2</v>
      </c>
      <c r="CY49" s="11">
        <v>1</v>
      </c>
      <c r="CZ49" s="11" t="s">
        <v>93</v>
      </c>
      <c r="DA49" s="11">
        <v>1</v>
      </c>
      <c r="DB49" s="11" t="s">
        <v>175</v>
      </c>
      <c r="DC49" s="11">
        <v>0.18</v>
      </c>
      <c r="DD49" s="11">
        <v>399</v>
      </c>
      <c r="DE49" s="11">
        <v>188</v>
      </c>
      <c r="DF49" s="11">
        <v>26</v>
      </c>
      <c r="DG49" s="11">
        <v>7031</v>
      </c>
      <c r="DH49" s="11">
        <v>5.7000000000000002E-2</v>
      </c>
      <c r="DI49" s="11">
        <v>0.47</v>
      </c>
      <c r="DJ49" s="11">
        <v>405</v>
      </c>
      <c r="DK49" s="11">
        <v>17.059999999999999</v>
      </c>
      <c r="DL49" s="11" t="s">
        <v>102</v>
      </c>
      <c r="DM49" s="11">
        <v>29</v>
      </c>
      <c r="DN49" s="11">
        <v>1.5</v>
      </c>
      <c r="DO49" s="11">
        <v>0.5</v>
      </c>
      <c r="DP49" s="11">
        <v>0.5</v>
      </c>
      <c r="DQ49" s="11">
        <v>0.5</v>
      </c>
      <c r="DR49" s="11">
        <v>0.5</v>
      </c>
      <c r="DS49" s="11">
        <v>0</v>
      </c>
      <c r="DT49" s="11">
        <v>0</v>
      </c>
      <c r="DU49" s="11">
        <v>0</v>
      </c>
      <c r="DV49" s="11">
        <v>420</v>
      </c>
      <c r="DW49" s="11">
        <v>80</v>
      </c>
      <c r="DX49" s="11">
        <v>1</v>
      </c>
      <c r="DY49" s="11"/>
      <c r="DZ49" s="11"/>
      <c r="EA49" s="11"/>
      <c r="EB49" s="11">
        <v>1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2</v>
      </c>
      <c r="EL49" s="6">
        <v>0</v>
      </c>
      <c r="EM49" s="6">
        <v>1</v>
      </c>
      <c r="EN49" s="6">
        <v>2</v>
      </c>
      <c r="EO49" s="6">
        <v>0</v>
      </c>
      <c r="EP49" s="6">
        <v>1</v>
      </c>
      <c r="EQ49" s="6">
        <v>1</v>
      </c>
      <c r="ER49" s="6">
        <v>0</v>
      </c>
      <c r="ES49" s="6">
        <v>0</v>
      </c>
      <c r="ET49" s="6">
        <v>0</v>
      </c>
      <c r="EU49" s="11"/>
      <c r="EV49" s="4"/>
      <c r="EW49" s="4"/>
      <c r="EX49" s="4"/>
    </row>
    <row r="50" spans="1:154" s="5" customFormat="1" ht="15.75" customHeight="1">
      <c r="A50" s="12">
        <v>39</v>
      </c>
      <c r="B50" s="12">
        <v>7040550</v>
      </c>
      <c r="C50" s="12" t="s">
        <v>162</v>
      </c>
      <c r="D50" s="12" t="s">
        <v>163</v>
      </c>
      <c r="E50" s="12">
        <v>1858543</v>
      </c>
      <c r="F50" s="12">
        <v>3178616</v>
      </c>
      <c r="G50" s="12">
        <v>4.49</v>
      </c>
      <c r="H50" s="12">
        <v>41.9</v>
      </c>
      <c r="I50" s="12">
        <v>13.9</v>
      </c>
      <c r="J50" s="12">
        <v>305</v>
      </c>
      <c r="K50" s="12">
        <v>3.27</v>
      </c>
      <c r="L50" s="12">
        <v>59.8</v>
      </c>
      <c r="M50" s="12">
        <v>0.53</v>
      </c>
      <c r="N50" s="12">
        <v>9.7200000000000006</v>
      </c>
      <c r="O50" s="12">
        <v>0.08</v>
      </c>
      <c r="P50" s="12">
        <v>1.45</v>
      </c>
      <c r="Q50" s="12">
        <v>0.03</v>
      </c>
      <c r="R50" s="12">
        <v>0.5</v>
      </c>
      <c r="S50" s="12">
        <v>1.56</v>
      </c>
      <c r="T50" s="12">
        <v>28.53</v>
      </c>
      <c r="U50" s="12">
        <v>1686</v>
      </c>
      <c r="V50" s="12">
        <v>7.2</v>
      </c>
      <c r="W50" s="28">
        <f t="shared" si="0"/>
        <v>121.39200000000001</v>
      </c>
      <c r="X50" s="12">
        <v>62.4</v>
      </c>
      <c r="Y50" s="28">
        <f t="shared" si="1"/>
        <v>1052.0639999999999</v>
      </c>
      <c r="Z50" s="12">
        <v>36.5</v>
      </c>
      <c r="AA50" s="28">
        <f t="shared" si="2"/>
        <v>615.39</v>
      </c>
      <c r="AB50" s="12">
        <v>22.2</v>
      </c>
      <c r="AC50" s="28">
        <f t="shared" si="3"/>
        <v>374.29199999999997</v>
      </c>
      <c r="AD50" s="12">
        <v>14.3</v>
      </c>
      <c r="AE50" s="29">
        <f t="shared" si="4"/>
        <v>241.09800000000004</v>
      </c>
      <c r="AF50" s="6"/>
      <c r="AG50" s="29">
        <f t="shared" si="5"/>
        <v>0</v>
      </c>
      <c r="AH50" s="30">
        <v>71.900000000000006</v>
      </c>
      <c r="AI50" s="28">
        <f t="shared" si="6"/>
        <v>1212.2340000000002</v>
      </c>
      <c r="AJ50" s="30">
        <v>62.7</v>
      </c>
      <c r="AK50" s="28">
        <f t="shared" si="7"/>
        <v>760.07071800000017</v>
      </c>
      <c r="AL50" s="12">
        <v>51.2</v>
      </c>
      <c r="AM50" s="28">
        <f t="shared" si="8"/>
        <v>389.15620761600007</v>
      </c>
      <c r="AN50" s="12">
        <v>42.2</v>
      </c>
      <c r="AO50" s="28">
        <f t="shared" si="9"/>
        <v>320.7498429960001</v>
      </c>
      <c r="AP50" s="12">
        <v>6</v>
      </c>
      <c r="AQ50" s="28">
        <f t="shared" si="10"/>
        <v>45.604243080000018</v>
      </c>
      <c r="AR50" s="12">
        <v>0.54</v>
      </c>
      <c r="AS50" s="28">
        <f t="shared" si="11"/>
        <v>4.1043818772000016</v>
      </c>
      <c r="AT50" s="12">
        <v>27.5</v>
      </c>
      <c r="AU50" s="28">
        <f t="shared" si="12"/>
        <v>333.36435000000006</v>
      </c>
      <c r="AV50" s="12">
        <v>37.6</v>
      </c>
      <c r="AW50" s="28">
        <f t="shared" si="13"/>
        <v>125.34499560000002</v>
      </c>
      <c r="AX50" s="12">
        <v>32.700000000000003</v>
      </c>
      <c r="AY50" s="28">
        <f t="shared" si="14"/>
        <v>109.01014245000002</v>
      </c>
      <c r="AZ50" s="12">
        <v>3.8</v>
      </c>
      <c r="BA50" s="28">
        <f t="shared" si="15"/>
        <v>12.667845300000002</v>
      </c>
      <c r="BB50" s="12">
        <v>14.6</v>
      </c>
      <c r="BC50" s="28">
        <f t="shared" si="16"/>
        <v>48.671195100000006</v>
      </c>
      <c r="BD50" s="12">
        <v>11.3</v>
      </c>
      <c r="BE50" s="28">
        <f t="shared" si="17"/>
        <v>37.670171550000006</v>
      </c>
      <c r="BF50" s="12">
        <v>0.49</v>
      </c>
      <c r="BG50" s="28">
        <f t="shared" si="18"/>
        <v>5.9399466000000007</v>
      </c>
      <c r="BH50" s="12">
        <v>0.88</v>
      </c>
      <c r="BI50" s="28">
        <f t="shared" si="19"/>
        <v>10.667659200000001</v>
      </c>
      <c r="BJ50" s="12">
        <v>8.4</v>
      </c>
      <c r="BK50" s="28">
        <f t="shared" si="20"/>
        <v>101.82765600000002</v>
      </c>
      <c r="BL50" s="12">
        <v>9</v>
      </c>
      <c r="BM50" s="12"/>
      <c r="BN50" s="28">
        <f t="shared" si="21"/>
        <v>68.406364620000019</v>
      </c>
      <c r="BO50" s="12">
        <v>58.4</v>
      </c>
      <c r="BP50" s="12">
        <v>21.3</v>
      </c>
      <c r="BQ50" s="12">
        <v>14.1</v>
      </c>
      <c r="BR50" s="12">
        <v>24.9</v>
      </c>
      <c r="BS50" s="12">
        <v>21.2</v>
      </c>
      <c r="BT50" s="12">
        <v>12</v>
      </c>
      <c r="BU50" s="12">
        <v>32.200000000000003</v>
      </c>
      <c r="BV50" s="28">
        <f t="shared" si="22"/>
        <v>2447427.7119600005</v>
      </c>
      <c r="BW50" s="12">
        <v>32.200000000000003</v>
      </c>
      <c r="BX50" s="12">
        <v>14.8</v>
      </c>
      <c r="BY50" s="28">
        <f t="shared" si="23"/>
        <v>362219.30137008009</v>
      </c>
      <c r="BZ50" s="12">
        <v>20</v>
      </c>
      <c r="CA50" s="28">
        <f t="shared" si="24"/>
        <v>489485.54239200009</v>
      </c>
      <c r="CB50" s="12">
        <v>12.1</v>
      </c>
      <c r="CC50" s="28">
        <f t="shared" si="25"/>
        <v>296138.75314716005</v>
      </c>
      <c r="CD50" s="12">
        <v>9.8000000000000007</v>
      </c>
      <c r="CE50" s="28">
        <f t="shared" si="26"/>
        <v>239847.91577208004</v>
      </c>
      <c r="CF50" s="12">
        <v>11.1</v>
      </c>
      <c r="CG50" s="28">
        <f t="shared" si="27"/>
        <v>271664.47602756007</v>
      </c>
      <c r="CH50" s="12">
        <v>7.8</v>
      </c>
      <c r="CI50" s="28">
        <f t="shared" si="28"/>
        <v>59.285516004000009</v>
      </c>
      <c r="CJ50" s="12">
        <v>13.7</v>
      </c>
      <c r="CK50" s="12">
        <v>29.2</v>
      </c>
      <c r="CL50" s="28">
        <f t="shared" si="29"/>
        <v>173113.70673168002</v>
      </c>
      <c r="CM50" s="12">
        <v>13.2</v>
      </c>
      <c r="CN50" s="28">
        <f t="shared" si="30"/>
        <v>7.8256881125280007</v>
      </c>
      <c r="CO50" s="12">
        <v>43.9</v>
      </c>
      <c r="CP50" s="28">
        <f t="shared" si="31"/>
        <v>26.026341525756003</v>
      </c>
      <c r="CQ50" s="12">
        <v>17.7</v>
      </c>
      <c r="CR50" s="28">
        <f t="shared" si="34"/>
        <v>298.42199999999997</v>
      </c>
      <c r="CS50" s="12">
        <v>0.1</v>
      </c>
      <c r="CT50" s="28">
        <f t="shared" si="35"/>
        <v>1.6860000000000002</v>
      </c>
      <c r="CU50" s="27">
        <v>45904</v>
      </c>
      <c r="CV50" s="11">
        <v>1</v>
      </c>
      <c r="CW50" s="11">
        <v>63</v>
      </c>
      <c r="CX50" s="11">
        <v>2</v>
      </c>
      <c r="CY50" s="11">
        <v>1</v>
      </c>
      <c r="CZ50" s="11" t="s">
        <v>93</v>
      </c>
      <c r="DA50" s="11">
        <v>1</v>
      </c>
      <c r="DB50" s="11" t="s">
        <v>302</v>
      </c>
      <c r="DC50" s="11">
        <v>0.5</v>
      </c>
      <c r="DD50" s="11">
        <v>506</v>
      </c>
      <c r="DE50" s="11">
        <v>497</v>
      </c>
      <c r="DF50" s="11">
        <v>88</v>
      </c>
      <c r="DG50" s="11">
        <v>11016</v>
      </c>
      <c r="DH50" s="11">
        <v>4.5999999999999999E-2</v>
      </c>
      <c r="DI50" s="11">
        <v>0.98</v>
      </c>
      <c r="DJ50" s="11">
        <v>450</v>
      </c>
      <c r="DK50" s="11">
        <v>10.98</v>
      </c>
      <c r="DL50" s="11" t="s">
        <v>176</v>
      </c>
      <c r="DM50" s="11">
        <v>25</v>
      </c>
      <c r="DN50" s="11">
        <v>1</v>
      </c>
      <c r="DO50" s="11">
        <v>0.5</v>
      </c>
      <c r="DP50" s="11">
        <v>0.5</v>
      </c>
      <c r="DQ50" s="11">
        <v>0</v>
      </c>
      <c r="DR50" s="11">
        <v>0.5</v>
      </c>
      <c r="DS50" s="11">
        <v>0</v>
      </c>
      <c r="DT50" s="11">
        <v>0</v>
      </c>
      <c r="DU50" s="11">
        <v>0</v>
      </c>
      <c r="DV50" s="11">
        <v>422</v>
      </c>
      <c r="DW50" s="11">
        <v>80</v>
      </c>
      <c r="DX50" s="11">
        <v>0</v>
      </c>
      <c r="DY50" s="11"/>
      <c r="DZ50" s="11"/>
      <c r="EA50" s="11"/>
      <c r="EB50" s="11">
        <v>0</v>
      </c>
      <c r="EC50" s="6">
        <v>0</v>
      </c>
      <c r="ED50" s="6">
        <v>1</v>
      </c>
      <c r="EE50" s="6">
        <v>0</v>
      </c>
      <c r="EF50" s="6">
        <v>0</v>
      </c>
      <c r="EG50" s="6">
        <v>0</v>
      </c>
      <c r="EH50" s="6">
        <v>1</v>
      </c>
      <c r="EI50" s="6">
        <v>0</v>
      </c>
      <c r="EJ50" s="6">
        <v>0</v>
      </c>
      <c r="EK50" s="6">
        <v>1</v>
      </c>
      <c r="EL50" s="6">
        <v>0</v>
      </c>
      <c r="EM50" s="6">
        <v>1</v>
      </c>
      <c r="EN50" s="6">
        <v>1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11"/>
      <c r="EV50" s="4"/>
      <c r="EW50" s="4"/>
      <c r="EX50" s="4"/>
    </row>
    <row r="51" spans="1:154" s="5" customFormat="1" ht="15.75" customHeight="1">
      <c r="A51" s="12">
        <v>51</v>
      </c>
      <c r="B51" s="12">
        <v>7041321</v>
      </c>
      <c r="C51" s="12" t="s">
        <v>44</v>
      </c>
      <c r="D51" s="12" t="s">
        <v>164</v>
      </c>
      <c r="E51" s="12">
        <v>3759790</v>
      </c>
      <c r="F51" s="12">
        <v>3181671</v>
      </c>
      <c r="G51" s="12">
        <v>4.0599999999999996</v>
      </c>
      <c r="H51" s="12">
        <v>36.4</v>
      </c>
      <c r="I51" s="12">
        <v>11.9</v>
      </c>
      <c r="J51" s="12">
        <v>155</v>
      </c>
      <c r="K51" s="12">
        <v>4.7300000000000004</v>
      </c>
      <c r="L51" s="12">
        <v>68.05</v>
      </c>
      <c r="M51" s="12">
        <v>0.56000000000000005</v>
      </c>
      <c r="N51" s="12">
        <v>7.97</v>
      </c>
      <c r="O51" s="12">
        <v>0.11</v>
      </c>
      <c r="P51" s="12">
        <v>1.58</v>
      </c>
      <c r="Q51" s="12">
        <v>0.05</v>
      </c>
      <c r="R51" s="12">
        <v>0.75</v>
      </c>
      <c r="S51" s="12">
        <v>1.51</v>
      </c>
      <c r="T51" s="12">
        <v>21.65</v>
      </c>
      <c r="U51" s="12">
        <v>1887</v>
      </c>
      <c r="V51" s="12">
        <v>11</v>
      </c>
      <c r="W51" s="28">
        <f t="shared" si="0"/>
        <v>207.57</v>
      </c>
      <c r="X51" s="12">
        <v>53.5</v>
      </c>
      <c r="Y51" s="28">
        <f t="shared" si="1"/>
        <v>1009.545</v>
      </c>
      <c r="Z51" s="12">
        <v>44.3</v>
      </c>
      <c r="AA51" s="28">
        <f t="shared" si="2"/>
        <v>835.94099999999992</v>
      </c>
      <c r="AB51" s="12">
        <v>28.4</v>
      </c>
      <c r="AC51" s="28">
        <f t="shared" si="3"/>
        <v>535.9079999999999</v>
      </c>
      <c r="AD51" s="12">
        <v>15.7</v>
      </c>
      <c r="AE51" s="29">
        <f t="shared" si="4"/>
        <v>296.25899999999996</v>
      </c>
      <c r="AF51" s="30">
        <v>0.25</v>
      </c>
      <c r="AG51" s="29">
        <f t="shared" si="5"/>
        <v>4.7175000000000002</v>
      </c>
      <c r="AH51" s="12">
        <v>74.8</v>
      </c>
      <c r="AI51" s="28">
        <f t="shared" si="6"/>
        <v>1411.4760000000001</v>
      </c>
      <c r="AJ51" s="12">
        <v>58</v>
      </c>
      <c r="AK51" s="28">
        <f t="shared" si="7"/>
        <v>818.65608000000009</v>
      </c>
      <c r="AL51" s="12">
        <v>42.7</v>
      </c>
      <c r="AM51" s="28">
        <f t="shared" si="8"/>
        <v>349.56614616000007</v>
      </c>
      <c r="AN51" s="12">
        <v>42.2</v>
      </c>
      <c r="AO51" s="28">
        <f t="shared" si="9"/>
        <v>345.47286576000005</v>
      </c>
      <c r="AP51" s="12">
        <v>9.6</v>
      </c>
      <c r="AQ51" s="28">
        <f t="shared" si="10"/>
        <v>78.590983680000008</v>
      </c>
      <c r="AR51" s="12">
        <v>3</v>
      </c>
      <c r="AS51" s="28">
        <f t="shared" si="11"/>
        <v>24.5596824</v>
      </c>
      <c r="AT51" s="12">
        <v>36.799999999999997</v>
      </c>
      <c r="AU51" s="28">
        <f t="shared" si="12"/>
        <v>519.42316800000003</v>
      </c>
      <c r="AV51" s="12">
        <v>33.4</v>
      </c>
      <c r="AW51" s="28">
        <f t="shared" si="13"/>
        <v>173.487338112</v>
      </c>
      <c r="AX51" s="12">
        <v>21.6</v>
      </c>
      <c r="AY51" s="28">
        <f t="shared" si="14"/>
        <v>112.19540428800001</v>
      </c>
      <c r="AZ51" s="12">
        <v>15.6</v>
      </c>
      <c r="BA51" s="28">
        <f t="shared" si="15"/>
        <v>81.030014207999997</v>
      </c>
      <c r="BB51" s="12">
        <v>1.3</v>
      </c>
      <c r="BC51" s="28">
        <f t="shared" si="16"/>
        <v>6.7525011839999998</v>
      </c>
      <c r="BD51" s="12">
        <v>27.6</v>
      </c>
      <c r="BE51" s="28">
        <f t="shared" si="17"/>
        <v>143.36079436800003</v>
      </c>
      <c r="BF51" s="12">
        <v>0.2</v>
      </c>
      <c r="BG51" s="28">
        <f t="shared" si="18"/>
        <v>2.8229520000000003</v>
      </c>
      <c r="BH51" s="12">
        <v>1</v>
      </c>
      <c r="BI51" s="28">
        <f t="shared" si="19"/>
        <v>14.11476</v>
      </c>
      <c r="BJ51" s="12">
        <v>4</v>
      </c>
      <c r="BK51" s="28">
        <f t="shared" si="20"/>
        <v>56.459040000000002</v>
      </c>
      <c r="BL51" s="12">
        <v>8.4</v>
      </c>
      <c r="BM51" s="12"/>
      <c r="BN51" s="28">
        <f t="shared" si="21"/>
        <v>68.767110720000005</v>
      </c>
      <c r="BO51" s="12">
        <v>66</v>
      </c>
      <c r="BP51" s="12">
        <v>20.2</v>
      </c>
      <c r="BQ51" s="12">
        <v>14.1</v>
      </c>
      <c r="BR51" s="12">
        <v>18.899999999999999</v>
      </c>
      <c r="BS51" s="12">
        <v>13.2</v>
      </c>
      <c r="BT51" s="12">
        <v>7.4</v>
      </c>
      <c r="BU51" s="12">
        <v>33.1</v>
      </c>
      <c r="BV51" s="28">
        <f t="shared" si="22"/>
        <v>2709751.6248000003</v>
      </c>
      <c r="BW51" s="12">
        <v>38.1</v>
      </c>
      <c r="BX51" s="12">
        <v>12</v>
      </c>
      <c r="BY51" s="28">
        <f t="shared" si="23"/>
        <v>325170.19497600006</v>
      </c>
      <c r="BZ51" s="12">
        <v>32.200000000000003</v>
      </c>
      <c r="CA51" s="28">
        <f t="shared" si="24"/>
        <v>872540.02318560018</v>
      </c>
      <c r="CB51" s="12">
        <v>11.2</v>
      </c>
      <c r="CC51" s="28">
        <f t="shared" si="25"/>
        <v>303492.18197760003</v>
      </c>
      <c r="CD51" s="12">
        <v>3.7</v>
      </c>
      <c r="CE51" s="28">
        <f t="shared" si="26"/>
        <v>100260.81011760002</v>
      </c>
      <c r="CF51" s="12">
        <v>2.8</v>
      </c>
      <c r="CG51" s="28">
        <f t="shared" si="27"/>
        <v>75873.045494400008</v>
      </c>
      <c r="CH51" s="12">
        <v>7.3</v>
      </c>
      <c r="CI51" s="28">
        <f t="shared" si="28"/>
        <v>59.761893839999999</v>
      </c>
      <c r="CJ51" s="12">
        <v>8.6999999999999993</v>
      </c>
      <c r="CK51" s="12">
        <v>48.3</v>
      </c>
      <c r="CL51" s="28">
        <f t="shared" si="29"/>
        <v>288649.94724720001</v>
      </c>
      <c r="CM51" s="12">
        <v>22.3</v>
      </c>
      <c r="CN51" s="28">
        <f t="shared" si="30"/>
        <v>13.326902326320001</v>
      </c>
      <c r="CO51" s="12">
        <v>20.7</v>
      </c>
      <c r="CP51" s="28">
        <f t="shared" si="31"/>
        <v>12.37071202488</v>
      </c>
      <c r="CQ51" s="12">
        <v>8.6</v>
      </c>
      <c r="CR51" s="28">
        <f t="shared" si="34"/>
        <v>162.28199999999998</v>
      </c>
      <c r="CS51" s="12">
        <v>0.33</v>
      </c>
      <c r="CT51" s="28">
        <f t="shared" si="35"/>
        <v>6.2271000000000001</v>
      </c>
      <c r="CU51" s="27">
        <v>45946</v>
      </c>
      <c r="CV51" s="11">
        <v>1</v>
      </c>
      <c r="CW51" s="11">
        <v>64</v>
      </c>
      <c r="CX51" s="11">
        <v>1</v>
      </c>
      <c r="CY51" s="11">
        <v>1</v>
      </c>
      <c r="CZ51" s="11" t="s">
        <v>93</v>
      </c>
      <c r="DA51" s="11">
        <v>1</v>
      </c>
      <c r="DB51" s="11" t="s">
        <v>150</v>
      </c>
      <c r="DC51" s="11">
        <v>0.63</v>
      </c>
      <c r="DD51" s="11">
        <v>635</v>
      </c>
      <c r="DE51" s="11">
        <v>609</v>
      </c>
      <c r="DF51" s="11">
        <v>93</v>
      </c>
      <c r="DG51" s="11">
        <v>12537</v>
      </c>
      <c r="DH51" s="11">
        <v>5.0999999999999997E-2</v>
      </c>
      <c r="DI51" s="11">
        <v>0.96</v>
      </c>
      <c r="DJ51" s="11">
        <v>628</v>
      </c>
      <c r="DK51" s="11">
        <v>17.53</v>
      </c>
      <c r="DL51" s="11" t="s">
        <v>96</v>
      </c>
      <c r="DM51" s="11">
        <v>25</v>
      </c>
      <c r="DN51" s="11">
        <v>2</v>
      </c>
      <c r="DO51" s="11">
        <v>0.5</v>
      </c>
      <c r="DP51" s="11">
        <v>0.5</v>
      </c>
      <c r="DQ51" s="11">
        <v>0.5</v>
      </c>
      <c r="DR51" s="11">
        <v>0.5</v>
      </c>
      <c r="DS51" s="11">
        <v>0</v>
      </c>
      <c r="DT51" s="11">
        <v>0.5</v>
      </c>
      <c r="DU51" s="11">
        <v>0</v>
      </c>
      <c r="DV51" s="11">
        <v>324</v>
      </c>
      <c r="DW51" s="11">
        <v>55</v>
      </c>
      <c r="DX51" s="11">
        <v>1</v>
      </c>
      <c r="DY51" s="11"/>
      <c r="DZ51" s="11"/>
      <c r="EA51" s="11"/>
      <c r="EB51" s="11">
        <v>1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2</v>
      </c>
      <c r="EL51" s="6">
        <v>1</v>
      </c>
      <c r="EM51" s="6">
        <v>1</v>
      </c>
      <c r="EN51" s="6">
        <v>2</v>
      </c>
      <c r="EO51" s="6">
        <v>0</v>
      </c>
      <c r="EP51" s="6">
        <v>0</v>
      </c>
      <c r="EQ51" s="6">
        <v>1</v>
      </c>
      <c r="ER51" s="6">
        <v>0</v>
      </c>
      <c r="ES51" s="6">
        <v>0</v>
      </c>
      <c r="ET51" s="6">
        <v>0</v>
      </c>
      <c r="EU51" s="11"/>
      <c r="EV51" s="4"/>
      <c r="EW51" s="4"/>
      <c r="EX51" s="4"/>
    </row>
    <row r="52" spans="1:154" s="5" customFormat="1" ht="15.75" customHeight="1">
      <c r="A52" s="12">
        <v>67</v>
      </c>
      <c r="B52" s="12">
        <v>7041988</v>
      </c>
      <c r="C52" s="12" t="s">
        <v>165</v>
      </c>
      <c r="D52" s="12" t="s">
        <v>166</v>
      </c>
      <c r="E52" s="12">
        <v>2653307</v>
      </c>
      <c r="F52" s="12">
        <v>3190791</v>
      </c>
      <c r="G52" s="12">
        <v>4.28</v>
      </c>
      <c r="H52" s="12">
        <v>38</v>
      </c>
      <c r="I52" s="12">
        <v>12.5</v>
      </c>
      <c r="J52" s="12">
        <v>185</v>
      </c>
      <c r="K52" s="12">
        <v>2.41</v>
      </c>
      <c r="L52" s="12">
        <v>52.49</v>
      </c>
      <c r="M52" s="12">
        <v>0.39</v>
      </c>
      <c r="N52" s="12">
        <v>8.4700000000000006</v>
      </c>
      <c r="O52" s="12">
        <v>7.0000000000000007E-2</v>
      </c>
      <c r="P52" s="12">
        <v>1.61</v>
      </c>
      <c r="Q52" s="12">
        <v>0.03</v>
      </c>
      <c r="R52" s="12">
        <v>0.59</v>
      </c>
      <c r="S52" s="12">
        <v>1.7</v>
      </c>
      <c r="T52" s="12">
        <v>36.840000000000003</v>
      </c>
      <c r="U52" s="12">
        <v>1961</v>
      </c>
      <c r="V52" s="12">
        <v>10.7</v>
      </c>
      <c r="W52" s="28">
        <f t="shared" si="0"/>
        <v>209.82699999999997</v>
      </c>
      <c r="X52" s="12">
        <v>70.2</v>
      </c>
      <c r="Y52" s="28">
        <f t="shared" si="1"/>
        <v>1376.6220000000001</v>
      </c>
      <c r="Z52" s="12">
        <v>27.6</v>
      </c>
      <c r="AA52" s="28">
        <f t="shared" si="2"/>
        <v>541.2360000000001</v>
      </c>
      <c r="AB52" s="12">
        <v>16.899999999999999</v>
      </c>
      <c r="AC52" s="28">
        <f t="shared" si="3"/>
        <v>331.40899999999993</v>
      </c>
      <c r="AD52" s="12">
        <v>10.6</v>
      </c>
      <c r="AE52" s="29">
        <f t="shared" si="4"/>
        <v>207.86599999999999</v>
      </c>
      <c r="AF52" s="30">
        <v>8.1000000000000003E-2</v>
      </c>
      <c r="AG52" s="29">
        <f t="shared" si="5"/>
        <v>1.5884100000000001</v>
      </c>
      <c r="AH52" s="12">
        <v>80.2</v>
      </c>
      <c r="AI52" s="28">
        <f t="shared" si="6"/>
        <v>1572.7220000000002</v>
      </c>
      <c r="AJ52" s="12">
        <v>52.7</v>
      </c>
      <c r="AK52" s="28">
        <f t="shared" si="7"/>
        <v>828.82449400000007</v>
      </c>
      <c r="AL52" s="12">
        <v>29.2</v>
      </c>
      <c r="AM52" s="28">
        <f t="shared" si="8"/>
        <v>242.01675224800002</v>
      </c>
      <c r="AN52" s="12">
        <v>50.2</v>
      </c>
      <c r="AO52" s="28">
        <f t="shared" si="9"/>
        <v>416.06989598800004</v>
      </c>
      <c r="AP52" s="12">
        <v>10.5</v>
      </c>
      <c r="AQ52" s="28">
        <f t="shared" si="10"/>
        <v>87.026571870000012</v>
      </c>
      <c r="AR52" s="12">
        <v>9.9</v>
      </c>
      <c r="AS52" s="28">
        <f t="shared" si="11"/>
        <v>82.05362490600001</v>
      </c>
      <c r="AT52" s="12">
        <v>39</v>
      </c>
      <c r="AU52" s="28">
        <f t="shared" si="12"/>
        <v>613.36158000000012</v>
      </c>
      <c r="AV52" s="12">
        <v>7.1</v>
      </c>
      <c r="AW52" s="28">
        <f t="shared" si="13"/>
        <v>43.548672180000004</v>
      </c>
      <c r="AX52" s="12">
        <v>17</v>
      </c>
      <c r="AY52" s="28">
        <f t="shared" si="14"/>
        <v>104.27146860000002</v>
      </c>
      <c r="AZ52" s="12">
        <v>6.6</v>
      </c>
      <c r="BA52" s="28">
        <f t="shared" si="15"/>
        <v>40.481864280000003</v>
      </c>
      <c r="BB52" s="12">
        <v>3.5</v>
      </c>
      <c r="BC52" s="28">
        <f t="shared" si="16"/>
        <v>21.467655300000004</v>
      </c>
      <c r="BD52" s="12">
        <v>65.8</v>
      </c>
      <c r="BE52" s="28">
        <f t="shared" si="17"/>
        <v>403.59191964000007</v>
      </c>
      <c r="BF52" s="12">
        <v>0.18</v>
      </c>
      <c r="BG52" s="28">
        <f t="shared" si="18"/>
        <v>2.8308996000000004</v>
      </c>
      <c r="BH52" s="12">
        <v>0.38</v>
      </c>
      <c r="BI52" s="28">
        <f t="shared" si="19"/>
        <v>5.9763436000000016</v>
      </c>
      <c r="BJ52" s="12">
        <v>7.7</v>
      </c>
      <c r="BK52" s="28">
        <f t="shared" si="20"/>
        <v>121.09959400000001</v>
      </c>
      <c r="BL52" s="12">
        <v>7.1</v>
      </c>
      <c r="BM52" s="12"/>
      <c r="BN52" s="28">
        <f t="shared" si="21"/>
        <v>58.846539073999999</v>
      </c>
      <c r="BO52" s="12">
        <v>40.1</v>
      </c>
      <c r="BP52" s="12">
        <v>22.6</v>
      </c>
      <c r="BQ52" s="12">
        <v>31.5</v>
      </c>
      <c r="BR52" s="12">
        <v>26.2</v>
      </c>
      <c r="BS52" s="12">
        <v>4.8</v>
      </c>
      <c r="BT52" s="12">
        <v>6.4</v>
      </c>
      <c r="BU52" s="12">
        <v>30.2</v>
      </c>
      <c r="BV52" s="28">
        <f t="shared" si="22"/>
        <v>2503049.9718800001</v>
      </c>
      <c r="BW52" s="12">
        <v>34.4</v>
      </c>
      <c r="BX52" s="12">
        <v>10.9</v>
      </c>
      <c r="BY52" s="28">
        <f t="shared" si="23"/>
        <v>272832.44693492004</v>
      </c>
      <c r="BZ52" s="12">
        <v>24</v>
      </c>
      <c r="CA52" s="28">
        <f t="shared" si="24"/>
        <v>600731.99325120007</v>
      </c>
      <c r="CB52" s="12">
        <v>19.7</v>
      </c>
      <c r="CC52" s="28">
        <f t="shared" si="25"/>
        <v>493100.84446036001</v>
      </c>
      <c r="CD52" s="12">
        <v>7.7</v>
      </c>
      <c r="CE52" s="28">
        <f t="shared" si="26"/>
        <v>192734.84783476003</v>
      </c>
      <c r="CF52" s="12">
        <v>3.3</v>
      </c>
      <c r="CG52" s="28">
        <f t="shared" si="27"/>
        <v>82600.649072040003</v>
      </c>
      <c r="CH52" s="12">
        <v>6.2</v>
      </c>
      <c r="CI52" s="28">
        <f t="shared" si="28"/>
        <v>51.38711862800001</v>
      </c>
      <c r="CJ52" s="12">
        <v>100</v>
      </c>
      <c r="CK52" s="12">
        <v>0</v>
      </c>
      <c r="CL52" s="28">
        <f t="shared" si="29"/>
        <v>0</v>
      </c>
      <c r="CM52" s="12">
        <v>0</v>
      </c>
      <c r="CN52" s="28">
        <f t="shared" si="30"/>
        <v>0</v>
      </c>
      <c r="CO52" s="12">
        <v>0</v>
      </c>
      <c r="CP52" s="28">
        <f t="shared" si="31"/>
        <v>0</v>
      </c>
      <c r="CQ52" s="12">
        <v>6.8</v>
      </c>
      <c r="CR52" s="28">
        <f t="shared" si="34"/>
        <v>133.34799999999998</v>
      </c>
      <c r="CS52" s="12">
        <v>0.46</v>
      </c>
      <c r="CT52" s="28">
        <f t="shared" si="35"/>
        <v>9.0206</v>
      </c>
      <c r="CU52" s="27">
        <v>45975</v>
      </c>
      <c r="CV52" s="11">
        <v>1</v>
      </c>
      <c r="CW52" s="11">
        <v>25</v>
      </c>
      <c r="CX52" s="11">
        <v>0</v>
      </c>
      <c r="CY52" s="11">
        <v>0</v>
      </c>
      <c r="CZ52" s="11" t="s">
        <v>263</v>
      </c>
      <c r="DA52" s="11">
        <v>0</v>
      </c>
      <c r="DB52" s="11" t="s">
        <v>401</v>
      </c>
      <c r="DC52" s="11">
        <v>0.14000000000000001</v>
      </c>
      <c r="DD52" s="11">
        <v>732</v>
      </c>
      <c r="DE52" s="11">
        <v>73</v>
      </c>
      <c r="DF52" s="11">
        <v>8</v>
      </c>
      <c r="DG52" s="11">
        <v>6339</v>
      </c>
      <c r="DH52" s="11">
        <v>0.115</v>
      </c>
      <c r="DI52" s="11">
        <v>0.1</v>
      </c>
      <c r="DJ52" s="11">
        <v>161</v>
      </c>
      <c r="DK52" s="11">
        <v>11.05</v>
      </c>
      <c r="DL52" s="11" t="s">
        <v>95</v>
      </c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>
        <v>0</v>
      </c>
      <c r="EC52" s="6">
        <v>1</v>
      </c>
      <c r="ED52" s="6">
        <v>1</v>
      </c>
      <c r="EE52" s="6">
        <v>0</v>
      </c>
      <c r="EF52" s="6">
        <v>0</v>
      </c>
      <c r="EG52" s="6">
        <v>0</v>
      </c>
      <c r="EH52" s="6">
        <v>1</v>
      </c>
      <c r="EI52" s="6">
        <v>0</v>
      </c>
      <c r="EJ52" s="6">
        <v>0</v>
      </c>
      <c r="EK52" s="6">
        <v>1</v>
      </c>
      <c r="EL52" s="6">
        <v>1</v>
      </c>
      <c r="EM52" s="6">
        <v>1</v>
      </c>
      <c r="EN52" s="6">
        <v>1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11"/>
      <c r="EV52" s="4"/>
      <c r="EW52" s="4"/>
      <c r="EX52" s="4"/>
    </row>
    <row r="53" spans="1:154" s="5" customFormat="1" ht="15.75" customHeight="1">
      <c r="A53" s="12">
        <v>14</v>
      </c>
      <c r="B53" s="12">
        <v>7039492</v>
      </c>
      <c r="C53" s="12" t="s">
        <v>167</v>
      </c>
      <c r="D53" s="12" t="s">
        <v>168</v>
      </c>
      <c r="E53" s="12">
        <v>1170513</v>
      </c>
      <c r="F53" s="12">
        <v>3195070</v>
      </c>
      <c r="G53" s="12">
        <v>4.3499999999999996</v>
      </c>
      <c r="H53" s="12">
        <v>42.2</v>
      </c>
      <c r="I53" s="12">
        <v>14.2</v>
      </c>
      <c r="J53" s="12">
        <v>272</v>
      </c>
      <c r="K53" s="12">
        <v>4.16</v>
      </c>
      <c r="L53" s="12">
        <v>68.47</v>
      </c>
      <c r="M53" s="12">
        <v>0.49</v>
      </c>
      <c r="N53" s="12">
        <v>8</v>
      </c>
      <c r="O53" s="12">
        <v>0.06</v>
      </c>
      <c r="P53" s="12">
        <v>0.96</v>
      </c>
      <c r="Q53" s="12">
        <v>0.05</v>
      </c>
      <c r="R53" s="12">
        <v>0.8</v>
      </c>
      <c r="S53" s="12">
        <v>1.32</v>
      </c>
      <c r="T53" s="12">
        <v>21.77</v>
      </c>
      <c r="U53" s="12">
        <v>1450</v>
      </c>
      <c r="V53" s="12">
        <v>13.2</v>
      </c>
      <c r="W53" s="28">
        <f t="shared" si="0"/>
        <v>191.4</v>
      </c>
      <c r="X53" s="12">
        <v>92.8</v>
      </c>
      <c r="Y53" s="28">
        <f t="shared" si="1"/>
        <v>1345.6</v>
      </c>
      <c r="Z53" s="12">
        <v>7.2</v>
      </c>
      <c r="AA53" s="28">
        <f t="shared" si="2"/>
        <v>104.4</v>
      </c>
      <c r="AB53" s="12">
        <v>3.5</v>
      </c>
      <c r="AC53" s="28">
        <f t="shared" si="3"/>
        <v>50.75</v>
      </c>
      <c r="AD53" s="12">
        <v>3.7</v>
      </c>
      <c r="AE53" s="29">
        <f t="shared" si="4"/>
        <v>53.65</v>
      </c>
      <c r="AF53" s="6"/>
      <c r="AG53" s="6"/>
      <c r="AH53" s="12">
        <v>66.3</v>
      </c>
      <c r="AI53" s="28">
        <f t="shared" si="6"/>
        <v>961.35</v>
      </c>
      <c r="AJ53" s="12">
        <v>80.099999999999994</v>
      </c>
      <c r="AK53" s="28">
        <f t="shared" si="7"/>
        <v>770.04134999999997</v>
      </c>
      <c r="AL53" s="12">
        <v>38.6</v>
      </c>
      <c r="AM53" s="28">
        <f t="shared" si="8"/>
        <v>297.2359611</v>
      </c>
      <c r="AN53" s="12">
        <v>47.8</v>
      </c>
      <c r="AO53" s="28">
        <f t="shared" si="9"/>
        <v>368.07976529999991</v>
      </c>
      <c r="AP53" s="12">
        <v>5.6</v>
      </c>
      <c r="AQ53" s="28">
        <f t="shared" si="10"/>
        <v>43.122315599999993</v>
      </c>
      <c r="AR53" s="12">
        <v>7.8</v>
      </c>
      <c r="AS53" s="28">
        <f t="shared" si="11"/>
        <v>60.063225299999992</v>
      </c>
      <c r="AT53" s="12">
        <v>18.2</v>
      </c>
      <c r="AU53" s="28">
        <f t="shared" si="12"/>
        <v>174.9657</v>
      </c>
      <c r="AV53" s="12">
        <v>22.6</v>
      </c>
      <c r="AW53" s="28">
        <f t="shared" si="13"/>
        <v>39.542248200000003</v>
      </c>
      <c r="AX53" s="12">
        <v>47.7</v>
      </c>
      <c r="AY53" s="28">
        <f t="shared" si="14"/>
        <v>83.458638900000011</v>
      </c>
      <c r="AZ53" s="12">
        <v>3.1</v>
      </c>
      <c r="BA53" s="28">
        <f t="shared" si="15"/>
        <v>5.4239367000000005</v>
      </c>
      <c r="BB53" s="12">
        <v>6</v>
      </c>
      <c r="BC53" s="28">
        <f t="shared" si="16"/>
        <v>10.497942</v>
      </c>
      <c r="BD53" s="12">
        <v>20.399999999999999</v>
      </c>
      <c r="BE53" s="28">
        <f t="shared" si="17"/>
        <v>35.693002800000002</v>
      </c>
      <c r="BF53" s="12">
        <v>0.17</v>
      </c>
      <c r="BG53" s="28">
        <f t="shared" si="18"/>
        <v>1.6342950000000003</v>
      </c>
      <c r="BH53" s="12">
        <v>0.3</v>
      </c>
      <c r="BI53" s="28">
        <f t="shared" si="19"/>
        <v>2.8840499999999998</v>
      </c>
      <c r="BJ53" s="12">
        <v>1.2</v>
      </c>
      <c r="BK53" s="28">
        <f t="shared" si="20"/>
        <v>11.536199999999999</v>
      </c>
      <c r="BL53" s="12">
        <v>6.1</v>
      </c>
      <c r="BM53" s="12"/>
      <c r="BN53" s="28">
        <f t="shared" si="21"/>
        <v>46.972522349999998</v>
      </c>
      <c r="BO53" s="12">
        <v>61.4</v>
      </c>
      <c r="BP53" s="12">
        <v>19.8</v>
      </c>
      <c r="BQ53" s="12">
        <v>16.2</v>
      </c>
      <c r="BR53" s="12">
        <v>31.6</v>
      </c>
      <c r="BS53" s="12">
        <v>5.2</v>
      </c>
      <c r="BT53" s="12">
        <v>16.5</v>
      </c>
      <c r="BU53" s="12">
        <v>32.200000000000003</v>
      </c>
      <c r="BV53" s="28">
        <f t="shared" si="22"/>
        <v>2479533.1469999999</v>
      </c>
      <c r="BW53" s="12">
        <v>21.7</v>
      </c>
      <c r="BX53" s="12">
        <v>30.7</v>
      </c>
      <c r="BY53" s="28">
        <f t="shared" si="23"/>
        <v>761216.67612899991</v>
      </c>
      <c r="BZ53" s="12">
        <v>16.7</v>
      </c>
      <c r="CA53" s="28">
        <f t="shared" si="24"/>
        <v>414082.03554899996</v>
      </c>
      <c r="CB53" s="12">
        <v>10.5</v>
      </c>
      <c r="CC53" s="28">
        <f t="shared" si="25"/>
        <v>260350.98043499998</v>
      </c>
      <c r="CD53" s="12">
        <v>16</v>
      </c>
      <c r="CE53" s="28">
        <f t="shared" si="26"/>
        <v>396725.30351999996</v>
      </c>
      <c r="CF53" s="12">
        <v>4.4000000000000004</v>
      </c>
      <c r="CG53" s="28">
        <f t="shared" si="27"/>
        <v>109099.458468</v>
      </c>
      <c r="CH53" s="12">
        <v>10</v>
      </c>
      <c r="CI53" s="28">
        <f t="shared" si="28"/>
        <v>77.004134999999991</v>
      </c>
      <c r="CJ53" s="12">
        <v>18.5</v>
      </c>
      <c r="CK53" s="12">
        <v>27.4</v>
      </c>
      <c r="CL53" s="28">
        <f t="shared" si="29"/>
        <v>210991.32989999998</v>
      </c>
      <c r="CM53" s="12">
        <v>14.8</v>
      </c>
      <c r="CN53" s="28">
        <f t="shared" si="30"/>
        <v>11.396611979999999</v>
      </c>
      <c r="CO53" s="12">
        <v>39.299999999999997</v>
      </c>
      <c r="CP53" s="28">
        <f t="shared" si="31"/>
        <v>30.262625054999994</v>
      </c>
      <c r="CQ53" s="12">
        <v>13</v>
      </c>
      <c r="CR53" s="28">
        <f t="shared" si="34"/>
        <v>188.5</v>
      </c>
      <c r="CS53" s="12">
        <v>0</v>
      </c>
      <c r="CT53" s="28">
        <f t="shared" si="35"/>
        <v>0</v>
      </c>
      <c r="CU53" s="27">
        <v>45841</v>
      </c>
      <c r="CV53" s="11">
        <v>1</v>
      </c>
      <c r="CW53" s="11">
        <v>55</v>
      </c>
      <c r="CX53" s="11">
        <v>3</v>
      </c>
      <c r="CY53" s="11">
        <v>2</v>
      </c>
      <c r="CZ53" s="11" t="s">
        <v>283</v>
      </c>
      <c r="DA53" s="11">
        <v>0</v>
      </c>
      <c r="DB53" s="11" t="s">
        <v>303</v>
      </c>
      <c r="DC53" s="11">
        <v>7.0000000000000007E-2</v>
      </c>
      <c r="DD53" s="11">
        <v>1144</v>
      </c>
      <c r="DE53" s="11">
        <v>212</v>
      </c>
      <c r="DF53" s="11">
        <v>27</v>
      </c>
      <c r="DG53" s="11">
        <v>10083</v>
      </c>
      <c r="DH53" s="11">
        <v>0.113</v>
      </c>
      <c r="DI53" s="11">
        <v>0.19</v>
      </c>
      <c r="DJ53" s="11"/>
      <c r="DK53" s="11">
        <v>9.83</v>
      </c>
      <c r="DL53" s="11" t="s">
        <v>95</v>
      </c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>
        <v>0</v>
      </c>
      <c r="DY53" s="11"/>
      <c r="DZ53" s="11"/>
      <c r="EA53" s="11"/>
      <c r="EB53" s="11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2</v>
      </c>
      <c r="EL53" s="6">
        <v>0</v>
      </c>
      <c r="EM53" s="6">
        <v>0</v>
      </c>
      <c r="EN53" s="6"/>
      <c r="EO53" s="6">
        <v>1</v>
      </c>
      <c r="EP53" s="6">
        <v>1</v>
      </c>
      <c r="EQ53" s="6">
        <v>0</v>
      </c>
      <c r="ER53" s="6">
        <v>0</v>
      </c>
      <c r="ES53" s="6">
        <v>0</v>
      </c>
      <c r="ET53" s="6">
        <v>1</v>
      </c>
      <c r="EU53" s="9" t="s">
        <v>304</v>
      </c>
      <c r="EV53" s="4"/>
      <c r="EW53" s="4"/>
      <c r="EX53" s="4"/>
    </row>
    <row r="54" spans="1:154" s="5" customFormat="1" ht="15.75" customHeight="1">
      <c r="A54" s="12">
        <v>65</v>
      </c>
      <c r="B54" s="12">
        <v>7041803</v>
      </c>
      <c r="C54" s="12" t="s">
        <v>169</v>
      </c>
      <c r="D54" s="12" t="s">
        <v>170</v>
      </c>
      <c r="E54" s="12">
        <v>4799717</v>
      </c>
      <c r="F54" s="12">
        <v>3206013</v>
      </c>
      <c r="G54" s="12">
        <v>5.14</v>
      </c>
      <c r="H54" s="12">
        <v>48.2</v>
      </c>
      <c r="I54" s="12">
        <v>16.399999999999999</v>
      </c>
      <c r="J54" s="12">
        <v>193</v>
      </c>
      <c r="K54" s="12">
        <v>2.0699999999999998</v>
      </c>
      <c r="L54" s="12">
        <v>46.25</v>
      </c>
      <c r="M54" s="12">
        <v>0.28000000000000003</v>
      </c>
      <c r="N54" s="12">
        <v>6.33</v>
      </c>
      <c r="O54" s="12">
        <v>0.16</v>
      </c>
      <c r="P54" s="12">
        <v>3.46</v>
      </c>
      <c r="Q54" s="12">
        <v>0.03</v>
      </c>
      <c r="R54" s="12">
        <v>0.71</v>
      </c>
      <c r="S54" s="12">
        <v>1.94</v>
      </c>
      <c r="T54" s="12">
        <v>43.25</v>
      </c>
      <c r="U54" s="12">
        <v>2167</v>
      </c>
      <c r="V54" s="12">
        <v>17.600000000000001</v>
      </c>
      <c r="W54" s="28">
        <f t="shared" si="0"/>
        <v>381.39200000000005</v>
      </c>
      <c r="X54" s="12">
        <v>81.599999999999994</v>
      </c>
      <c r="Y54" s="28">
        <f t="shared" si="1"/>
        <v>1768.2719999999999</v>
      </c>
      <c r="Z54" s="12">
        <v>16.899999999999999</v>
      </c>
      <c r="AA54" s="28">
        <f t="shared" si="2"/>
        <v>366.22299999999996</v>
      </c>
      <c r="AB54" s="12">
        <v>7.2</v>
      </c>
      <c r="AC54" s="28">
        <f t="shared" si="3"/>
        <v>156.024</v>
      </c>
      <c r="AD54" s="12">
        <v>9.3000000000000007</v>
      </c>
      <c r="AE54" s="29">
        <f t="shared" si="4"/>
        <v>201.53100000000003</v>
      </c>
      <c r="AF54" s="30">
        <v>0.31</v>
      </c>
      <c r="AG54" s="29">
        <f t="shared" si="5"/>
        <v>6.7176999999999998</v>
      </c>
      <c r="AH54" s="12">
        <v>72.5</v>
      </c>
      <c r="AI54" s="28">
        <f t="shared" si="6"/>
        <v>1571.075</v>
      </c>
      <c r="AJ54" s="12">
        <v>69.900000000000006</v>
      </c>
      <c r="AK54" s="28">
        <f t="shared" si="7"/>
        <v>1098.1814250000002</v>
      </c>
      <c r="AL54" s="12">
        <v>50</v>
      </c>
      <c r="AM54" s="28">
        <f t="shared" si="8"/>
        <v>549.09071250000011</v>
      </c>
      <c r="AN54" s="12">
        <v>45.4</v>
      </c>
      <c r="AO54" s="28">
        <f t="shared" si="9"/>
        <v>498.57436695000013</v>
      </c>
      <c r="AP54" s="12">
        <v>4.3</v>
      </c>
      <c r="AQ54" s="28">
        <f t="shared" si="10"/>
        <v>47.221801275000004</v>
      </c>
      <c r="AR54" s="12">
        <v>0.12</v>
      </c>
      <c r="AS54" s="28">
        <f t="shared" si="11"/>
        <v>1.3178177100000001</v>
      </c>
      <c r="AT54" s="12">
        <v>27.1</v>
      </c>
      <c r="AU54" s="28">
        <f t="shared" si="12"/>
        <v>425.76132500000006</v>
      </c>
      <c r="AV54" s="12">
        <v>15.9</v>
      </c>
      <c r="AW54" s="28">
        <f t="shared" si="13"/>
        <v>67.696050675000009</v>
      </c>
      <c r="AX54" s="12">
        <v>53.2</v>
      </c>
      <c r="AY54" s="28">
        <f t="shared" si="14"/>
        <v>226.50502490000002</v>
      </c>
      <c r="AZ54" s="12">
        <v>4.4000000000000004</v>
      </c>
      <c r="BA54" s="28">
        <f t="shared" si="15"/>
        <v>18.733498300000004</v>
      </c>
      <c r="BB54" s="12">
        <v>2.5</v>
      </c>
      <c r="BC54" s="28">
        <f t="shared" si="16"/>
        <v>10.644033125</v>
      </c>
      <c r="BD54" s="12">
        <v>22.3</v>
      </c>
      <c r="BE54" s="28">
        <f t="shared" si="17"/>
        <v>94.944775475000029</v>
      </c>
      <c r="BF54" s="12">
        <v>0.33</v>
      </c>
      <c r="BG54" s="28">
        <f t="shared" si="18"/>
        <v>5.1845474999999999</v>
      </c>
      <c r="BH54" s="12">
        <v>0.35</v>
      </c>
      <c r="BI54" s="28">
        <f t="shared" si="19"/>
        <v>5.4987625000000007</v>
      </c>
      <c r="BJ54" s="12">
        <v>2.2999999999999998</v>
      </c>
      <c r="BK54" s="28">
        <f t="shared" si="20"/>
        <v>36.134724999999996</v>
      </c>
      <c r="BL54" s="12">
        <v>9</v>
      </c>
      <c r="BM54" s="12"/>
      <c r="BN54" s="28">
        <f t="shared" si="21"/>
        <v>98.836328250000022</v>
      </c>
      <c r="BO54" s="12">
        <v>55.9</v>
      </c>
      <c r="BP54" s="12">
        <v>15</v>
      </c>
      <c r="BQ54" s="12">
        <v>8.3000000000000007</v>
      </c>
      <c r="BR54" s="12">
        <v>33</v>
      </c>
      <c r="BS54" s="12">
        <v>15.6</v>
      </c>
      <c r="BT54" s="12">
        <v>14.5</v>
      </c>
      <c r="BU54" s="12">
        <v>26.3</v>
      </c>
      <c r="BV54" s="28">
        <f t="shared" si="22"/>
        <v>2888217.1477500009</v>
      </c>
      <c r="BW54" s="12">
        <v>27.1</v>
      </c>
      <c r="BX54" s="12">
        <v>13.9</v>
      </c>
      <c r="BY54" s="28">
        <f t="shared" si="23"/>
        <v>401462.18353725015</v>
      </c>
      <c r="BZ54" s="12">
        <v>17.899999999999999</v>
      </c>
      <c r="CA54" s="28">
        <f t="shared" si="24"/>
        <v>516990.86944725015</v>
      </c>
      <c r="CB54" s="12">
        <v>16.2</v>
      </c>
      <c r="CC54" s="28">
        <f t="shared" si="25"/>
        <v>467891.17793550016</v>
      </c>
      <c r="CD54" s="12">
        <v>16.899999999999999</v>
      </c>
      <c r="CE54" s="28">
        <f t="shared" si="26"/>
        <v>488108.69796975009</v>
      </c>
      <c r="CF54" s="12">
        <v>8</v>
      </c>
      <c r="CG54" s="28">
        <f t="shared" si="27"/>
        <v>231057.37182000009</v>
      </c>
      <c r="CH54" s="12">
        <v>14</v>
      </c>
      <c r="CI54" s="28">
        <f t="shared" si="28"/>
        <v>153.74539950000002</v>
      </c>
      <c r="CJ54" s="12">
        <v>10.4</v>
      </c>
      <c r="CK54" s="12">
        <v>0</v>
      </c>
      <c r="CL54" s="28">
        <f t="shared" si="29"/>
        <v>0</v>
      </c>
      <c r="CM54" s="12">
        <v>17.100000000000001</v>
      </c>
      <c r="CN54" s="28">
        <f t="shared" si="30"/>
        <v>26.290463314500006</v>
      </c>
      <c r="CO54" s="12">
        <v>72.5</v>
      </c>
      <c r="CP54" s="28">
        <f t="shared" si="31"/>
        <v>111.46541463750002</v>
      </c>
      <c r="CQ54" s="12">
        <v>6.9</v>
      </c>
      <c r="CR54" s="28">
        <f t="shared" si="34"/>
        <v>149.52300000000002</v>
      </c>
      <c r="CS54" s="12">
        <v>0.26</v>
      </c>
      <c r="CT54" s="28">
        <f t="shared" si="35"/>
        <v>5.6342000000000008</v>
      </c>
      <c r="CU54" s="27">
        <v>45967</v>
      </c>
      <c r="CV54" s="11">
        <v>1</v>
      </c>
      <c r="CW54" s="11">
        <v>58</v>
      </c>
      <c r="CX54" s="11">
        <v>0</v>
      </c>
      <c r="CY54" s="11">
        <v>0</v>
      </c>
      <c r="CZ54" s="11" t="s">
        <v>263</v>
      </c>
      <c r="DA54" s="11">
        <v>0</v>
      </c>
      <c r="DB54" s="11" t="s">
        <v>305</v>
      </c>
      <c r="DC54" s="11">
        <v>0.1</v>
      </c>
      <c r="DD54" s="11">
        <v>673</v>
      </c>
      <c r="DE54" s="11">
        <v>156</v>
      </c>
      <c r="DF54" s="11">
        <v>21</v>
      </c>
      <c r="DG54" s="11">
        <v>6265</v>
      </c>
      <c r="DH54" s="11">
        <v>0.107</v>
      </c>
      <c r="DI54" s="11">
        <v>0.23</v>
      </c>
      <c r="DJ54" s="11">
        <v>576</v>
      </c>
      <c r="DK54" s="11">
        <v>14.36</v>
      </c>
      <c r="DL54" s="11" t="s">
        <v>95</v>
      </c>
      <c r="DM54" s="11">
        <v>25</v>
      </c>
      <c r="DN54" s="11">
        <v>3.5</v>
      </c>
      <c r="DO54" s="11">
        <v>0.5</v>
      </c>
      <c r="DP54" s="11">
        <v>1</v>
      </c>
      <c r="DQ54" s="11">
        <v>1</v>
      </c>
      <c r="DR54" s="11">
        <v>0.5</v>
      </c>
      <c r="DS54" s="11">
        <v>0.5</v>
      </c>
      <c r="DT54" s="11">
        <v>0.5</v>
      </c>
      <c r="DU54" s="11">
        <v>0</v>
      </c>
      <c r="DV54" s="11">
        <v>317</v>
      </c>
      <c r="DW54" s="11">
        <v>54</v>
      </c>
      <c r="DX54" s="11">
        <v>0</v>
      </c>
      <c r="DY54" s="11"/>
      <c r="DZ54" s="11"/>
      <c r="EA54" s="11"/>
      <c r="EB54" s="11">
        <v>1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3</v>
      </c>
      <c r="EL54" s="6">
        <v>0</v>
      </c>
      <c r="EM54" s="6">
        <v>1</v>
      </c>
      <c r="EN54" s="6">
        <v>2</v>
      </c>
      <c r="EO54" s="6">
        <v>1</v>
      </c>
      <c r="EP54" s="6">
        <v>1</v>
      </c>
      <c r="EQ54" s="6">
        <v>1</v>
      </c>
      <c r="ER54" s="6">
        <v>0</v>
      </c>
      <c r="ES54" s="6">
        <v>0</v>
      </c>
      <c r="ET54" s="6">
        <v>0</v>
      </c>
      <c r="EU54" s="9" t="s">
        <v>306</v>
      </c>
      <c r="EV54" s="4"/>
      <c r="EW54" s="4"/>
      <c r="EX54" s="4"/>
    </row>
    <row r="55" spans="1:154" s="5" customFormat="1" ht="15.75" customHeight="1">
      <c r="A55" s="12">
        <v>44</v>
      </c>
      <c r="B55" s="12">
        <v>7040745</v>
      </c>
      <c r="C55" s="12" t="s">
        <v>171</v>
      </c>
      <c r="D55" s="12" t="s">
        <v>172</v>
      </c>
      <c r="E55" s="12">
        <v>2987340</v>
      </c>
      <c r="F55" s="12">
        <v>3216161</v>
      </c>
      <c r="G55" s="12">
        <v>4.58</v>
      </c>
      <c r="H55" s="12">
        <v>45.4</v>
      </c>
      <c r="I55" s="12">
        <v>15.3</v>
      </c>
      <c r="J55" s="12">
        <v>282</v>
      </c>
      <c r="K55" s="12">
        <v>5.96</v>
      </c>
      <c r="L55" s="12">
        <v>68.02</v>
      </c>
      <c r="M55" s="12">
        <v>0.46</v>
      </c>
      <c r="N55" s="12">
        <v>5.22</v>
      </c>
      <c r="O55" s="12">
        <v>0.04</v>
      </c>
      <c r="P55" s="12">
        <v>0.44</v>
      </c>
      <c r="Q55" s="12">
        <v>7.0000000000000007E-2</v>
      </c>
      <c r="R55" s="12">
        <v>0.76</v>
      </c>
      <c r="S55" s="12">
        <v>2.2400000000000002</v>
      </c>
      <c r="T55" s="12">
        <v>25.56</v>
      </c>
      <c r="U55" s="12">
        <v>2687</v>
      </c>
      <c r="V55" s="12">
        <v>20.3</v>
      </c>
      <c r="W55" s="28">
        <f t="shared" si="0"/>
        <v>545.46100000000001</v>
      </c>
      <c r="X55" s="12">
        <v>36.200000000000003</v>
      </c>
      <c r="Y55" s="28">
        <f t="shared" si="1"/>
        <v>972.69400000000007</v>
      </c>
      <c r="Z55" s="12">
        <v>61.2</v>
      </c>
      <c r="AA55" s="28">
        <f t="shared" si="2"/>
        <v>1644.444</v>
      </c>
      <c r="AB55" s="12">
        <v>44.4</v>
      </c>
      <c r="AC55" s="28">
        <f t="shared" si="3"/>
        <v>1193.028</v>
      </c>
      <c r="AD55" s="12">
        <v>16.399999999999999</v>
      </c>
      <c r="AE55" s="29">
        <f t="shared" si="4"/>
        <v>440.66799999999995</v>
      </c>
      <c r="AF55" s="30">
        <v>0.38</v>
      </c>
      <c r="AG55" s="29">
        <f t="shared" si="5"/>
        <v>10.210600000000001</v>
      </c>
      <c r="AH55" s="12">
        <v>61</v>
      </c>
      <c r="AI55" s="28">
        <f t="shared" si="6"/>
        <v>1639.07</v>
      </c>
      <c r="AJ55" s="12">
        <v>59.8</v>
      </c>
      <c r="AK55" s="28">
        <f t="shared" si="7"/>
        <v>980.16386</v>
      </c>
      <c r="AL55" s="12">
        <v>44.8</v>
      </c>
      <c r="AM55" s="28">
        <f t="shared" si="8"/>
        <v>439.11340927999998</v>
      </c>
      <c r="AN55" s="12">
        <v>49.3</v>
      </c>
      <c r="AO55" s="28">
        <f t="shared" si="9"/>
        <v>483.22078298000002</v>
      </c>
      <c r="AP55" s="12">
        <v>3.8</v>
      </c>
      <c r="AQ55" s="28">
        <f t="shared" si="10"/>
        <v>37.246226679999999</v>
      </c>
      <c r="AR55" s="12">
        <v>1.9</v>
      </c>
      <c r="AS55" s="28">
        <f t="shared" si="11"/>
        <v>18.62311334</v>
      </c>
      <c r="AT55" s="12">
        <v>37.6</v>
      </c>
      <c r="AU55" s="28">
        <f t="shared" si="12"/>
        <v>616.29031999999995</v>
      </c>
      <c r="AV55" s="12">
        <v>51.1</v>
      </c>
      <c r="AW55" s="28">
        <f t="shared" si="13"/>
        <v>314.92435351999995</v>
      </c>
      <c r="AX55" s="12">
        <v>41.3</v>
      </c>
      <c r="AY55" s="28">
        <f t="shared" si="14"/>
        <v>254.52790215999997</v>
      </c>
      <c r="AZ55" s="12">
        <v>0.71</v>
      </c>
      <c r="BA55" s="28">
        <f t="shared" si="15"/>
        <v>4.3756612719999994</v>
      </c>
      <c r="BB55" s="12">
        <v>5.3</v>
      </c>
      <c r="BC55" s="28">
        <f t="shared" si="16"/>
        <v>32.663386959999997</v>
      </c>
      <c r="BD55" s="12">
        <v>0.82</v>
      </c>
      <c r="BE55" s="28">
        <f t="shared" si="17"/>
        <v>5.0535806239999994</v>
      </c>
      <c r="BF55" s="12">
        <v>1.2</v>
      </c>
      <c r="BG55" s="28">
        <f t="shared" si="18"/>
        <v>19.668839999999999</v>
      </c>
      <c r="BH55" s="12">
        <v>0.63</v>
      </c>
      <c r="BI55" s="28">
        <f t="shared" si="19"/>
        <v>10.326141</v>
      </c>
      <c r="BJ55" s="12">
        <v>0.77</v>
      </c>
      <c r="BK55" s="28">
        <f t="shared" si="20"/>
        <v>12.620839</v>
      </c>
      <c r="BL55" s="12">
        <v>8.6</v>
      </c>
      <c r="BM55" s="12"/>
      <c r="BN55" s="28">
        <f t="shared" si="21"/>
        <v>84.294091960000003</v>
      </c>
      <c r="BO55" s="12">
        <v>43.1</v>
      </c>
      <c r="BP55" s="12">
        <v>25.9</v>
      </c>
      <c r="BQ55" s="12">
        <v>29.2</v>
      </c>
      <c r="BR55" s="12">
        <v>21</v>
      </c>
      <c r="BS55" s="12">
        <v>11.8</v>
      </c>
      <c r="BT55" s="12">
        <v>14</v>
      </c>
      <c r="BU55" s="12">
        <v>32.5</v>
      </c>
      <c r="BV55" s="28">
        <f t="shared" si="22"/>
        <v>3185532.5449999999</v>
      </c>
      <c r="BW55" s="12">
        <v>22.9</v>
      </c>
      <c r="BX55" s="12">
        <v>17.8</v>
      </c>
      <c r="BY55" s="28">
        <f t="shared" si="23"/>
        <v>567024.79301000002</v>
      </c>
      <c r="BZ55" s="12">
        <v>36.299999999999997</v>
      </c>
      <c r="CA55" s="28">
        <f t="shared" si="24"/>
        <v>1156348.3138349999</v>
      </c>
      <c r="CB55" s="12">
        <v>10.4</v>
      </c>
      <c r="CC55" s="28">
        <f t="shared" si="25"/>
        <v>331295.38468000002</v>
      </c>
      <c r="CD55" s="12">
        <v>8.3000000000000007</v>
      </c>
      <c r="CE55" s="28">
        <f t="shared" si="26"/>
        <v>264399.20123499999</v>
      </c>
      <c r="CF55" s="12">
        <v>4.3</v>
      </c>
      <c r="CG55" s="28">
        <f t="shared" si="27"/>
        <v>136977.899435</v>
      </c>
      <c r="CH55" s="12">
        <v>14.9</v>
      </c>
      <c r="CI55" s="28">
        <f t="shared" si="28"/>
        <v>146.04441514000001</v>
      </c>
      <c r="CJ55" s="12">
        <v>10.4</v>
      </c>
      <c r="CK55" s="12">
        <v>48.4</v>
      </c>
      <c r="CL55" s="28">
        <f t="shared" si="29"/>
        <v>706854.96927760006</v>
      </c>
      <c r="CM55" s="12">
        <v>15.8</v>
      </c>
      <c r="CN55" s="28">
        <f t="shared" si="30"/>
        <v>23.075017592120002</v>
      </c>
      <c r="CO55" s="12">
        <v>25.4</v>
      </c>
      <c r="CP55" s="28">
        <f t="shared" si="31"/>
        <v>37.095281445559998</v>
      </c>
      <c r="CQ55" s="12">
        <v>12.9</v>
      </c>
      <c r="CR55" s="28">
        <f t="shared" si="34"/>
        <v>346.62300000000005</v>
      </c>
      <c r="CS55" s="12">
        <v>0.11</v>
      </c>
      <c r="CT55" s="28">
        <f t="shared" si="35"/>
        <v>2.9556999999999998</v>
      </c>
      <c r="CU55" s="27">
        <v>45911</v>
      </c>
      <c r="CV55" s="11">
        <v>1</v>
      </c>
      <c r="CW55" s="11">
        <v>59</v>
      </c>
      <c r="CX55" s="11">
        <v>2</v>
      </c>
      <c r="CY55" s="11">
        <v>1</v>
      </c>
      <c r="CZ55" s="11" t="s">
        <v>93</v>
      </c>
      <c r="DA55" s="11">
        <v>1</v>
      </c>
      <c r="DB55" s="11" t="s">
        <v>302</v>
      </c>
      <c r="DC55" s="11">
        <v>0.25</v>
      </c>
      <c r="DD55" s="11">
        <v>667</v>
      </c>
      <c r="DE55" s="11">
        <v>405</v>
      </c>
      <c r="DF55" s="11">
        <v>60</v>
      </c>
      <c r="DG55" s="11">
        <v>10907</v>
      </c>
      <c r="DH55" s="11">
        <v>6.0999999999999999E-2</v>
      </c>
      <c r="DI55" s="11">
        <v>0.61</v>
      </c>
      <c r="DJ55" s="11">
        <v>334</v>
      </c>
      <c r="DK55" s="11">
        <v>11.33</v>
      </c>
      <c r="DL55" s="11" t="s">
        <v>96</v>
      </c>
      <c r="DM55" s="11">
        <v>22</v>
      </c>
      <c r="DN55" s="11">
        <v>4.5</v>
      </c>
      <c r="DO55" s="11">
        <v>0.5</v>
      </c>
      <c r="DP55" s="11">
        <v>2</v>
      </c>
      <c r="DQ55" s="11">
        <v>1</v>
      </c>
      <c r="DR55" s="11">
        <v>0.5</v>
      </c>
      <c r="DS55" s="11">
        <v>0.5</v>
      </c>
      <c r="DT55" s="11">
        <v>0.5</v>
      </c>
      <c r="DU55" s="11">
        <v>0</v>
      </c>
      <c r="DV55" s="11">
        <v>272</v>
      </c>
      <c r="DW55" s="11">
        <v>49</v>
      </c>
      <c r="DX55" s="11">
        <v>0</v>
      </c>
      <c r="DY55" s="11"/>
      <c r="DZ55" s="11"/>
      <c r="EA55" s="11"/>
      <c r="EB55" s="11">
        <v>0</v>
      </c>
      <c r="EC55" s="6">
        <v>0</v>
      </c>
      <c r="ED55" s="6">
        <v>1</v>
      </c>
      <c r="EE55" s="6">
        <v>0</v>
      </c>
      <c r="EF55" s="6">
        <v>0</v>
      </c>
      <c r="EG55" s="6">
        <v>0</v>
      </c>
      <c r="EH55" s="6">
        <v>1</v>
      </c>
      <c r="EI55" s="6">
        <v>0</v>
      </c>
      <c r="EJ55" s="6">
        <v>0</v>
      </c>
      <c r="EK55" s="6">
        <v>1</v>
      </c>
      <c r="EL55" s="6">
        <v>0</v>
      </c>
      <c r="EM55" s="6">
        <v>1</v>
      </c>
      <c r="EN55" s="6">
        <v>1</v>
      </c>
      <c r="EO55" s="6">
        <v>0</v>
      </c>
      <c r="EP55" s="6">
        <v>1</v>
      </c>
      <c r="EQ55" s="6">
        <v>0</v>
      </c>
      <c r="ER55" s="6">
        <v>0</v>
      </c>
      <c r="ES55" s="6">
        <v>0</v>
      </c>
      <c r="ET55" s="6">
        <v>0</v>
      </c>
      <c r="EU55" s="11"/>
      <c r="EV55" s="4"/>
      <c r="EW55" s="4"/>
      <c r="EX55" s="4"/>
    </row>
    <row r="56" spans="1:154" s="5" customFormat="1" ht="15.75" customHeight="1">
      <c r="A56" s="12">
        <v>49</v>
      </c>
      <c r="B56" s="12">
        <v>7041071</v>
      </c>
      <c r="C56" s="12" t="s">
        <v>173</v>
      </c>
      <c r="D56" s="12" t="s">
        <v>174</v>
      </c>
      <c r="E56" s="12">
        <v>2462259</v>
      </c>
      <c r="F56" s="12">
        <v>4707616</v>
      </c>
      <c r="G56" s="12">
        <v>4.72</v>
      </c>
      <c r="H56" s="12">
        <v>41.2</v>
      </c>
      <c r="I56" s="12">
        <v>13.4</v>
      </c>
      <c r="J56" s="12">
        <v>180</v>
      </c>
      <c r="K56" s="12">
        <v>2.89</v>
      </c>
      <c r="L56" s="12">
        <v>48.36</v>
      </c>
      <c r="M56" s="12">
        <v>0.56000000000000005</v>
      </c>
      <c r="N56" s="12">
        <v>9.32</v>
      </c>
      <c r="O56" s="12">
        <v>0.35</v>
      </c>
      <c r="P56" s="12">
        <v>5.84</v>
      </c>
      <c r="Q56" s="12">
        <v>0.06</v>
      </c>
      <c r="R56" s="12">
        <v>0.98</v>
      </c>
      <c r="S56" s="12">
        <v>2.12</v>
      </c>
      <c r="T56" s="12">
        <v>35.5</v>
      </c>
      <c r="U56" s="12">
        <v>2521</v>
      </c>
      <c r="V56" s="12">
        <v>5.5</v>
      </c>
      <c r="W56" s="28">
        <f t="shared" si="0"/>
        <v>138.655</v>
      </c>
      <c r="X56" s="12">
        <v>79.2</v>
      </c>
      <c r="Y56" s="28">
        <f t="shared" si="1"/>
        <v>1996.6320000000001</v>
      </c>
      <c r="Z56" s="12">
        <v>17.7</v>
      </c>
      <c r="AA56" s="28">
        <f t="shared" si="2"/>
        <v>446.21699999999998</v>
      </c>
      <c r="AB56" s="12">
        <v>5.5</v>
      </c>
      <c r="AC56" s="28">
        <f t="shared" si="3"/>
        <v>138.655</v>
      </c>
      <c r="AD56" s="12">
        <v>12</v>
      </c>
      <c r="AE56" s="29">
        <f t="shared" si="4"/>
        <v>302.52</v>
      </c>
      <c r="AF56" s="30">
        <v>0.24</v>
      </c>
      <c r="AG56" s="29">
        <f t="shared" si="5"/>
        <v>6.0503999999999998</v>
      </c>
      <c r="AH56" s="12">
        <v>50.6</v>
      </c>
      <c r="AI56" s="28">
        <f t="shared" si="6"/>
        <v>1275.626</v>
      </c>
      <c r="AJ56" s="12">
        <v>84.9</v>
      </c>
      <c r="AK56" s="28">
        <f t="shared" si="7"/>
        <v>1083.006474</v>
      </c>
      <c r="AL56" s="12">
        <v>45.2</v>
      </c>
      <c r="AM56" s="28">
        <f t="shared" si="8"/>
        <v>489.51892624800007</v>
      </c>
      <c r="AN56" s="12">
        <v>44.8</v>
      </c>
      <c r="AO56" s="28">
        <f t="shared" si="9"/>
        <v>485.18690035200001</v>
      </c>
      <c r="AP56" s="12">
        <v>6.7</v>
      </c>
      <c r="AQ56" s="28">
        <f t="shared" si="10"/>
        <v>72.561433758000007</v>
      </c>
      <c r="AR56" s="12">
        <v>3.1</v>
      </c>
      <c r="AS56" s="28">
        <f t="shared" si="11"/>
        <v>33.573200694000001</v>
      </c>
      <c r="AT56" s="12">
        <v>13.5</v>
      </c>
      <c r="AU56" s="28">
        <f t="shared" si="12"/>
        <v>172.20951000000002</v>
      </c>
      <c r="AV56" s="12">
        <v>6.6</v>
      </c>
      <c r="AW56" s="28">
        <f t="shared" si="13"/>
        <v>11.365827660000001</v>
      </c>
      <c r="AX56" s="12">
        <v>67.8</v>
      </c>
      <c r="AY56" s="28">
        <f t="shared" si="14"/>
        <v>116.75804778000001</v>
      </c>
      <c r="AZ56" s="12">
        <v>4</v>
      </c>
      <c r="BA56" s="28">
        <f t="shared" si="15"/>
        <v>6.8883804000000008</v>
      </c>
      <c r="BB56" s="12">
        <v>5.7</v>
      </c>
      <c r="BC56" s="28">
        <f t="shared" si="16"/>
        <v>9.815942070000002</v>
      </c>
      <c r="BD56" s="12">
        <v>15.5</v>
      </c>
      <c r="BE56" s="28">
        <f t="shared" si="17"/>
        <v>26.692474050000005</v>
      </c>
      <c r="BF56" s="12">
        <v>0.13</v>
      </c>
      <c r="BG56" s="28">
        <f t="shared" si="18"/>
        <v>1.6583137999999999</v>
      </c>
      <c r="BH56" s="12">
        <v>0.31</v>
      </c>
      <c r="BI56" s="28">
        <f t="shared" si="19"/>
        <v>3.9544405999999999</v>
      </c>
      <c r="BJ56" s="12">
        <v>1.2</v>
      </c>
      <c r="BK56" s="28">
        <f t="shared" si="20"/>
        <v>15.307511999999999</v>
      </c>
      <c r="BL56" s="12">
        <v>9.9</v>
      </c>
      <c r="BM56" s="12"/>
      <c r="BN56" s="28">
        <f t="shared" si="21"/>
        <v>107.217640926</v>
      </c>
      <c r="BO56" s="12">
        <v>60</v>
      </c>
      <c r="BP56" s="12">
        <v>20.9</v>
      </c>
      <c r="BQ56" s="12">
        <v>24.3</v>
      </c>
      <c r="BR56" s="12">
        <v>22.4</v>
      </c>
      <c r="BS56" s="12">
        <v>15.3</v>
      </c>
      <c r="BT56" s="12">
        <v>8.6999999999999993</v>
      </c>
      <c r="BU56" s="12">
        <v>32.5</v>
      </c>
      <c r="BV56" s="28">
        <f t="shared" si="22"/>
        <v>3519771.0404999997</v>
      </c>
      <c r="BW56" s="12">
        <v>26.6</v>
      </c>
      <c r="BX56" s="12">
        <v>13.8</v>
      </c>
      <c r="BY56" s="28">
        <f t="shared" si="23"/>
        <v>485728.40358899994</v>
      </c>
      <c r="BZ56" s="12">
        <v>26.1</v>
      </c>
      <c r="CA56" s="28">
        <f t="shared" si="24"/>
        <v>918660.24157049996</v>
      </c>
      <c r="CB56" s="12">
        <v>20.3</v>
      </c>
      <c r="CC56" s="28">
        <f t="shared" si="25"/>
        <v>714513.52122149989</v>
      </c>
      <c r="CD56" s="12">
        <v>8.5</v>
      </c>
      <c r="CE56" s="28">
        <f t="shared" si="26"/>
        <v>299180.53844249999</v>
      </c>
      <c r="CF56" s="12">
        <v>4.7</v>
      </c>
      <c r="CG56" s="28">
        <f t="shared" si="27"/>
        <v>165429.23890349999</v>
      </c>
      <c r="CH56" s="12">
        <v>9.1</v>
      </c>
      <c r="CI56" s="28">
        <f t="shared" si="28"/>
        <v>98.553589133999992</v>
      </c>
      <c r="CJ56" s="12">
        <v>7.3</v>
      </c>
      <c r="CK56" s="12">
        <v>39.299999999999997</v>
      </c>
      <c r="CL56" s="28">
        <f t="shared" si="29"/>
        <v>387315.60529661993</v>
      </c>
      <c r="CM56" s="12">
        <v>21.7</v>
      </c>
      <c r="CN56" s="28">
        <f t="shared" si="30"/>
        <v>21.386128842077998</v>
      </c>
      <c r="CO56" s="12">
        <v>31.7</v>
      </c>
      <c r="CP56" s="28">
        <f t="shared" si="31"/>
        <v>31.241487755477998</v>
      </c>
      <c r="CQ56" s="12">
        <v>38.6</v>
      </c>
      <c r="CR56" s="28">
        <f t="shared" si="34"/>
        <v>973.10600000000011</v>
      </c>
      <c r="CS56" s="12">
        <v>0.22</v>
      </c>
      <c r="CT56" s="28">
        <f t="shared" si="35"/>
        <v>5.5461999999999998</v>
      </c>
      <c r="CU56" s="27">
        <v>45932</v>
      </c>
      <c r="CV56" s="11">
        <v>0</v>
      </c>
      <c r="CW56" s="11">
        <v>74</v>
      </c>
      <c r="CX56" s="11">
        <v>3</v>
      </c>
      <c r="CY56" s="11">
        <v>2</v>
      </c>
      <c r="CZ56" s="11" t="s">
        <v>283</v>
      </c>
      <c r="DA56" s="11">
        <v>0</v>
      </c>
      <c r="DB56" s="11" t="s">
        <v>235</v>
      </c>
      <c r="DC56" s="11">
        <v>0.12</v>
      </c>
      <c r="DD56" s="11">
        <v>717</v>
      </c>
      <c r="DE56" s="11">
        <v>247</v>
      </c>
      <c r="DF56" s="11">
        <v>27</v>
      </c>
      <c r="DG56" s="11">
        <v>6424</v>
      </c>
      <c r="DH56" s="11">
        <v>0.112</v>
      </c>
      <c r="DI56" s="11">
        <v>0.34</v>
      </c>
      <c r="DJ56" s="11">
        <v>998</v>
      </c>
      <c r="DK56" s="11">
        <v>24.78</v>
      </c>
      <c r="DL56" s="11" t="s">
        <v>95</v>
      </c>
      <c r="DM56" s="11">
        <v>25</v>
      </c>
      <c r="DN56" s="11">
        <v>7</v>
      </c>
      <c r="DO56" s="11">
        <v>1</v>
      </c>
      <c r="DP56" s="11">
        <v>1</v>
      </c>
      <c r="DQ56" s="11">
        <v>1</v>
      </c>
      <c r="DR56" s="11">
        <v>1</v>
      </c>
      <c r="DS56" s="11">
        <v>1</v>
      </c>
      <c r="DT56" s="11">
        <v>2</v>
      </c>
      <c r="DU56" s="11">
        <v>1</v>
      </c>
      <c r="DV56" s="11"/>
      <c r="DW56" s="11"/>
      <c r="DX56" s="11"/>
      <c r="DY56" s="11"/>
      <c r="DZ56" s="11"/>
      <c r="EA56" s="11"/>
      <c r="EB56" s="11">
        <v>0</v>
      </c>
      <c r="EC56" s="6">
        <v>1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1</v>
      </c>
      <c r="EL56" s="6">
        <v>1</v>
      </c>
      <c r="EM56" s="6">
        <v>0</v>
      </c>
      <c r="EN56" s="6">
        <v>1</v>
      </c>
      <c r="EO56" s="6">
        <v>0</v>
      </c>
      <c r="EP56" s="6">
        <v>1</v>
      </c>
      <c r="EQ56" s="6">
        <v>0</v>
      </c>
      <c r="ER56" s="6">
        <v>0</v>
      </c>
      <c r="ES56" s="6">
        <v>0</v>
      </c>
      <c r="ET56" s="6">
        <v>0</v>
      </c>
      <c r="EU56" s="11" t="s">
        <v>177</v>
      </c>
      <c r="EV56" s="4"/>
      <c r="EW56" s="4"/>
      <c r="EX56" s="4"/>
    </row>
    <row r="57" spans="1:154" s="5" customFormat="1" ht="15.75" customHeight="1">
      <c r="A57" s="12">
        <v>7</v>
      </c>
      <c r="B57" s="12">
        <v>7039294</v>
      </c>
      <c r="C57" s="12" t="s">
        <v>228</v>
      </c>
      <c r="D57" s="12" t="s">
        <v>229</v>
      </c>
      <c r="E57" s="12">
        <v>5164443</v>
      </c>
      <c r="F57" s="12">
        <v>4941847</v>
      </c>
      <c r="G57" s="12">
        <v>4.53</v>
      </c>
      <c r="H57" s="12">
        <v>40.4</v>
      </c>
      <c r="I57" s="12">
        <v>13.2</v>
      </c>
      <c r="J57" s="12">
        <v>248</v>
      </c>
      <c r="K57" s="12">
        <v>3.22</v>
      </c>
      <c r="L57" s="12">
        <v>46.29</v>
      </c>
      <c r="M57" s="12">
        <v>0.5</v>
      </c>
      <c r="N57" s="12">
        <v>7.23</v>
      </c>
      <c r="O57" s="12">
        <v>0.24</v>
      </c>
      <c r="P57" s="12">
        <v>3.37</v>
      </c>
      <c r="Q57" s="12">
        <v>0.05</v>
      </c>
      <c r="R57" s="12">
        <v>0.68</v>
      </c>
      <c r="S57" s="12">
        <v>2.96</v>
      </c>
      <c r="T57" s="12">
        <v>42.43</v>
      </c>
      <c r="U57" s="12">
        <v>3474</v>
      </c>
      <c r="V57" s="12">
        <v>10.6</v>
      </c>
      <c r="W57" s="28">
        <f t="shared" si="0"/>
        <v>368.24400000000003</v>
      </c>
      <c r="X57" s="12">
        <v>79.599999999999994</v>
      </c>
      <c r="Y57" s="28">
        <f t="shared" si="1"/>
        <v>2765.3039999999996</v>
      </c>
      <c r="Z57" s="12">
        <v>20.399999999999999</v>
      </c>
      <c r="AA57" s="28">
        <f t="shared" si="2"/>
        <v>708.69599999999991</v>
      </c>
      <c r="AB57" s="12">
        <v>8.9</v>
      </c>
      <c r="AC57" s="28">
        <f t="shared" si="3"/>
        <v>309.18600000000004</v>
      </c>
      <c r="AD57" s="12">
        <v>11.5</v>
      </c>
      <c r="AE57" s="29">
        <f t="shared" si="4"/>
        <v>399.51</v>
      </c>
      <c r="AF57" s="6"/>
      <c r="AG57" s="6"/>
      <c r="AH57" s="12">
        <v>71.599999999999994</v>
      </c>
      <c r="AI57" s="28">
        <f t="shared" si="6"/>
        <v>2487.384</v>
      </c>
      <c r="AJ57" s="12">
        <v>67.5</v>
      </c>
      <c r="AK57" s="28">
        <f t="shared" si="7"/>
        <v>1678.9842000000001</v>
      </c>
      <c r="AL57" s="12">
        <v>43.5</v>
      </c>
      <c r="AM57" s="28">
        <f t="shared" si="8"/>
        <v>730.35812700000008</v>
      </c>
      <c r="AN57" s="12">
        <v>51.5</v>
      </c>
      <c r="AO57" s="28">
        <f t="shared" si="9"/>
        <v>864.67686300000003</v>
      </c>
      <c r="AP57" s="12">
        <v>3.6</v>
      </c>
      <c r="AQ57" s="28">
        <f t="shared" si="10"/>
        <v>60.443431200000006</v>
      </c>
      <c r="AR57" s="12">
        <v>1.3</v>
      </c>
      <c r="AS57" s="28">
        <f t="shared" si="11"/>
        <v>21.826794600000003</v>
      </c>
      <c r="AT57" s="12">
        <v>26.1</v>
      </c>
      <c r="AU57" s="28">
        <f t="shared" si="12"/>
        <v>649.20722400000011</v>
      </c>
      <c r="AV57" s="12">
        <v>25.7</v>
      </c>
      <c r="AW57" s="28">
        <f t="shared" si="13"/>
        <v>166.84625656800003</v>
      </c>
      <c r="AX57" s="12">
        <v>47.2</v>
      </c>
      <c r="AY57" s="28">
        <f t="shared" si="14"/>
        <v>306.42580972800005</v>
      </c>
      <c r="AZ57" s="12">
        <v>5.4</v>
      </c>
      <c r="BA57" s="28">
        <f t="shared" si="15"/>
        <v>35.057190096000006</v>
      </c>
      <c r="BB57" s="12">
        <v>3.6</v>
      </c>
      <c r="BC57" s="28">
        <f t="shared" si="16"/>
        <v>23.371460064000004</v>
      </c>
      <c r="BD57" s="12">
        <v>17.600000000000001</v>
      </c>
      <c r="BE57" s="28">
        <f t="shared" si="17"/>
        <v>114.26047142400003</v>
      </c>
      <c r="BF57" s="12">
        <v>0.75</v>
      </c>
      <c r="BG57" s="28">
        <f t="shared" si="18"/>
        <v>18.655380000000001</v>
      </c>
      <c r="BH57" s="12">
        <v>0.97</v>
      </c>
      <c r="BI57" s="28">
        <f t="shared" si="19"/>
        <v>24.1276248</v>
      </c>
      <c r="BJ57" s="12">
        <v>4.7</v>
      </c>
      <c r="BK57" s="28">
        <f t="shared" si="20"/>
        <v>116.90704800000002</v>
      </c>
      <c r="BL57" s="12">
        <v>5.5</v>
      </c>
      <c r="BM57" s="12"/>
      <c r="BN57" s="28">
        <f t="shared" si="21"/>
        <v>92.344131000000004</v>
      </c>
      <c r="BO57" s="12">
        <v>55.7</v>
      </c>
      <c r="BP57" s="12">
        <v>25.6</v>
      </c>
      <c r="BQ57" s="12">
        <v>19.7</v>
      </c>
      <c r="BR57" s="12">
        <v>25</v>
      </c>
      <c r="BS57" s="12">
        <v>10.1</v>
      </c>
      <c r="BT57" s="12">
        <v>19.2</v>
      </c>
      <c r="BU57" s="12">
        <v>30.3</v>
      </c>
      <c r="BV57" s="28">
        <f t="shared" si="22"/>
        <v>5087322.1260000002</v>
      </c>
      <c r="BW57" s="12">
        <v>27.9</v>
      </c>
      <c r="BX57" s="12">
        <v>26.2</v>
      </c>
      <c r="BY57" s="28">
        <f t="shared" si="23"/>
        <v>1332878.397012</v>
      </c>
      <c r="BZ57" s="12">
        <v>22.7</v>
      </c>
      <c r="CA57" s="28">
        <f t="shared" si="24"/>
        <v>1154822.1226019999</v>
      </c>
      <c r="CB57" s="12">
        <v>13</v>
      </c>
      <c r="CC57" s="28">
        <f t="shared" si="25"/>
        <v>661351.87638000003</v>
      </c>
      <c r="CD57" s="12">
        <v>8.3000000000000007</v>
      </c>
      <c r="CE57" s="28">
        <f t="shared" si="26"/>
        <v>422247.73645800003</v>
      </c>
      <c r="CF57" s="12">
        <v>1.9</v>
      </c>
      <c r="CG57" s="28">
        <f t="shared" si="27"/>
        <v>96659.120393999998</v>
      </c>
      <c r="CH57" s="12">
        <v>19</v>
      </c>
      <c r="CI57" s="28">
        <f t="shared" si="28"/>
        <v>319.00699800000001</v>
      </c>
      <c r="CJ57" s="12">
        <v>14.1</v>
      </c>
      <c r="CK57" s="12">
        <v>37</v>
      </c>
      <c r="CL57" s="28">
        <f t="shared" si="29"/>
        <v>1180325.8926000001</v>
      </c>
      <c r="CM57" s="12">
        <v>17.2</v>
      </c>
      <c r="CN57" s="28">
        <f t="shared" si="30"/>
        <v>54.869203655999996</v>
      </c>
      <c r="CO57" s="12">
        <v>31.7</v>
      </c>
      <c r="CP57" s="28">
        <f t="shared" si="31"/>
        <v>101.12521836600001</v>
      </c>
      <c r="CQ57" s="12">
        <v>12.4</v>
      </c>
      <c r="CR57" s="28">
        <f t="shared" si="34"/>
        <v>430.77600000000001</v>
      </c>
      <c r="CS57" s="12">
        <v>1.8</v>
      </c>
      <c r="CT57" s="28">
        <f t="shared" si="35"/>
        <v>62.531999999999996</v>
      </c>
      <c r="CU57" s="39"/>
      <c r="CV57" s="4">
        <v>1</v>
      </c>
      <c r="CW57" s="4">
        <v>63</v>
      </c>
      <c r="CX57" s="4">
        <v>3</v>
      </c>
      <c r="CY57" s="4">
        <v>2</v>
      </c>
      <c r="CZ57" s="4" t="s">
        <v>283</v>
      </c>
      <c r="DA57" s="4">
        <v>0</v>
      </c>
      <c r="DB57" s="4" t="s">
        <v>307</v>
      </c>
      <c r="DC57" s="4">
        <v>0.15</v>
      </c>
      <c r="DD57" s="4">
        <v>693</v>
      </c>
      <c r="DE57" s="4">
        <v>145</v>
      </c>
      <c r="DF57" s="4">
        <v>20</v>
      </c>
      <c r="DG57" s="4">
        <v>6881</v>
      </c>
      <c r="DH57" s="4">
        <v>0.10100000000000001</v>
      </c>
      <c r="DI57" s="4">
        <v>0.21</v>
      </c>
      <c r="DJ57" s="4">
        <v>485</v>
      </c>
      <c r="DK57" s="4">
        <v>21.07</v>
      </c>
      <c r="DL57" s="4" t="s">
        <v>95</v>
      </c>
      <c r="DM57" s="4">
        <v>29</v>
      </c>
      <c r="DN57" s="4">
        <v>2.5</v>
      </c>
      <c r="DO57" s="4">
        <v>0.5</v>
      </c>
      <c r="DP57" s="4">
        <v>0.5</v>
      </c>
      <c r="DQ57" s="4">
        <v>1</v>
      </c>
      <c r="DR57" s="4">
        <v>0.5</v>
      </c>
      <c r="DS57" s="4">
        <v>0.5</v>
      </c>
      <c r="DT57" s="4">
        <v>0</v>
      </c>
      <c r="DU57" s="4">
        <v>0</v>
      </c>
      <c r="DV57" s="4">
        <v>457</v>
      </c>
      <c r="DW57" s="4">
        <v>87</v>
      </c>
      <c r="DX57" s="4"/>
      <c r="DY57" s="4"/>
      <c r="DZ57" s="4"/>
      <c r="EA57" s="4"/>
      <c r="EB57" s="4">
        <v>1</v>
      </c>
      <c r="EC57" s="6">
        <v>1</v>
      </c>
      <c r="ED57" s="6">
        <v>1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1</v>
      </c>
      <c r="EL57" s="6">
        <v>1</v>
      </c>
      <c r="EM57" s="6">
        <v>1</v>
      </c>
      <c r="EN57" s="6"/>
      <c r="EO57" s="6">
        <v>0</v>
      </c>
      <c r="EP57" s="6">
        <v>1</v>
      </c>
      <c r="EQ57" s="6">
        <v>1</v>
      </c>
      <c r="ER57" s="6">
        <v>0</v>
      </c>
      <c r="ES57" s="6">
        <v>0</v>
      </c>
      <c r="ET57" s="6">
        <v>0</v>
      </c>
      <c r="EU57" s="4" t="s">
        <v>308</v>
      </c>
      <c r="EV57" s="4"/>
      <c r="EW57" s="4"/>
      <c r="EX57" s="4"/>
    </row>
    <row r="58" spans="1:154" s="5" customFormat="1" ht="15.75" customHeight="1">
      <c r="A58" s="12">
        <v>38</v>
      </c>
      <c r="B58" s="12">
        <v>7040549</v>
      </c>
      <c r="C58" s="12" t="s">
        <v>141</v>
      </c>
      <c r="D58" s="12" t="s">
        <v>178</v>
      </c>
      <c r="E58" s="12">
        <v>2392927</v>
      </c>
      <c r="F58" s="12">
        <v>6032306</v>
      </c>
      <c r="G58" s="12">
        <v>4.41</v>
      </c>
      <c r="H58" s="12">
        <v>40.299999999999997</v>
      </c>
      <c r="I58" s="12">
        <v>13.2</v>
      </c>
      <c r="J58" s="12">
        <v>176</v>
      </c>
      <c r="K58" s="12">
        <v>4.16</v>
      </c>
      <c r="L58" s="12">
        <v>68.739999999999995</v>
      </c>
      <c r="M58" s="12">
        <v>0.42</v>
      </c>
      <c r="N58" s="12">
        <v>6.97</v>
      </c>
      <c r="O58" s="12">
        <v>0.04</v>
      </c>
      <c r="P58" s="12">
        <v>0.68</v>
      </c>
      <c r="Q58" s="12">
        <v>0.02</v>
      </c>
      <c r="R58" s="12">
        <v>0.28999999999999998</v>
      </c>
      <c r="S58" s="12">
        <v>1.41</v>
      </c>
      <c r="T58" s="12">
        <v>23.32</v>
      </c>
      <c r="U58" s="12">
        <v>1640</v>
      </c>
      <c r="V58" s="12">
        <v>7.7</v>
      </c>
      <c r="W58" s="28">
        <f t="shared" si="0"/>
        <v>126.28</v>
      </c>
      <c r="X58" s="12">
        <v>57.1</v>
      </c>
      <c r="Y58" s="28">
        <f t="shared" si="1"/>
        <v>936.44</v>
      </c>
      <c r="Z58" s="12">
        <v>42.9</v>
      </c>
      <c r="AA58" s="28">
        <f t="shared" si="2"/>
        <v>703.56</v>
      </c>
      <c r="AB58" s="12">
        <v>13.2</v>
      </c>
      <c r="AC58" s="28">
        <f t="shared" si="3"/>
        <v>216.48</v>
      </c>
      <c r="AD58" s="12">
        <v>28.8</v>
      </c>
      <c r="AE58" s="29">
        <f t="shared" si="4"/>
        <v>472.32</v>
      </c>
      <c r="AF58" s="30">
        <v>0.88</v>
      </c>
      <c r="AG58" s="29">
        <f t="shared" si="5"/>
        <v>14.432</v>
      </c>
      <c r="AH58" s="12">
        <v>68.900000000000006</v>
      </c>
      <c r="AI58" s="28">
        <f t="shared" si="6"/>
        <v>1129.96</v>
      </c>
      <c r="AJ58" s="12">
        <v>76.900000000000006</v>
      </c>
      <c r="AK58" s="28">
        <f t="shared" si="7"/>
        <v>868.93924000000015</v>
      </c>
      <c r="AL58" s="12">
        <v>45.2</v>
      </c>
      <c r="AM58" s="28">
        <f t="shared" si="8"/>
        <v>392.7605364800001</v>
      </c>
      <c r="AN58" s="12">
        <v>43.4</v>
      </c>
      <c r="AO58" s="28">
        <f t="shared" si="9"/>
        <v>377.1196301600001</v>
      </c>
      <c r="AP58" s="12">
        <v>7.8</v>
      </c>
      <c r="AQ58" s="28">
        <f t="shared" si="10"/>
        <v>67.777260720000015</v>
      </c>
      <c r="AR58" s="12">
        <v>3.4</v>
      </c>
      <c r="AS58" s="28">
        <f t="shared" si="11"/>
        <v>29.543934160000003</v>
      </c>
      <c r="AT58" s="12">
        <v>17.2</v>
      </c>
      <c r="AU58" s="28">
        <f t="shared" si="12"/>
        <v>194.35311999999999</v>
      </c>
      <c r="AV58" s="12">
        <v>18.600000000000001</v>
      </c>
      <c r="AW58" s="28">
        <f t="shared" si="13"/>
        <v>36.149680320000002</v>
      </c>
      <c r="AX58" s="12">
        <v>64.900000000000006</v>
      </c>
      <c r="AY58" s="28">
        <f t="shared" si="14"/>
        <v>126.13517488000001</v>
      </c>
      <c r="AZ58" s="12">
        <v>3.1</v>
      </c>
      <c r="BA58" s="28">
        <f t="shared" si="15"/>
        <v>6.02494672</v>
      </c>
      <c r="BB58" s="12">
        <v>3.1</v>
      </c>
      <c r="BC58" s="28">
        <f t="shared" si="16"/>
        <v>6.02494672</v>
      </c>
      <c r="BD58" s="12">
        <v>10.199999999999999</v>
      </c>
      <c r="BE58" s="28">
        <f t="shared" si="17"/>
        <v>19.824018239999997</v>
      </c>
      <c r="BF58" s="12">
        <v>0.26</v>
      </c>
      <c r="BG58" s="28">
        <f t="shared" si="18"/>
        <v>2.9378960000000003</v>
      </c>
      <c r="BH58" s="12">
        <v>0.42</v>
      </c>
      <c r="BI58" s="28">
        <f t="shared" si="19"/>
        <v>4.7458320000000001</v>
      </c>
      <c r="BJ58" s="12">
        <v>5.2</v>
      </c>
      <c r="BK58" s="28">
        <f t="shared" si="20"/>
        <v>58.757920000000006</v>
      </c>
      <c r="BL58" s="12">
        <v>10.5</v>
      </c>
      <c r="BM58" s="12"/>
      <c r="BN58" s="28">
        <f t="shared" si="21"/>
        <v>91.238620200000028</v>
      </c>
      <c r="BO58" s="12">
        <v>75.7</v>
      </c>
      <c r="BP58" s="12">
        <v>18.600000000000001</v>
      </c>
      <c r="BQ58" s="12">
        <v>15.2</v>
      </c>
      <c r="BR58" s="12">
        <v>35.299999999999997</v>
      </c>
      <c r="BS58" s="12">
        <v>7.1</v>
      </c>
      <c r="BT58" s="12">
        <v>10.8</v>
      </c>
      <c r="BU58" s="12">
        <v>48.6</v>
      </c>
      <c r="BV58" s="28">
        <f t="shared" si="22"/>
        <v>4223044.7064000005</v>
      </c>
      <c r="BW58" s="12">
        <v>35.299999999999997</v>
      </c>
      <c r="BX58" s="12">
        <v>17.5</v>
      </c>
      <c r="BY58" s="28">
        <f t="shared" si="23"/>
        <v>739032.82362000004</v>
      </c>
      <c r="BZ58" s="12">
        <v>15.5</v>
      </c>
      <c r="CA58" s="28">
        <f t="shared" si="24"/>
        <v>654571.92949200002</v>
      </c>
      <c r="CB58" s="12">
        <v>16.100000000000001</v>
      </c>
      <c r="CC58" s="28">
        <f t="shared" si="25"/>
        <v>679910.19773040013</v>
      </c>
      <c r="CD58" s="12">
        <v>8.8000000000000007</v>
      </c>
      <c r="CE58" s="28">
        <f t="shared" si="26"/>
        <v>371627.93416320009</v>
      </c>
      <c r="CF58" s="12">
        <v>6.8</v>
      </c>
      <c r="CG58" s="28">
        <f t="shared" si="27"/>
        <v>287167.04003520001</v>
      </c>
      <c r="CH58" s="12">
        <v>13.8</v>
      </c>
      <c r="CI58" s="28">
        <f t="shared" si="28"/>
        <v>119.91361512000003</v>
      </c>
      <c r="CJ58" s="12">
        <v>27</v>
      </c>
      <c r="CK58" s="12">
        <v>28.2</v>
      </c>
      <c r="CL58" s="28">
        <f t="shared" si="29"/>
        <v>338156.39463840006</v>
      </c>
      <c r="CM58" s="12">
        <v>11.1</v>
      </c>
      <c r="CN58" s="28">
        <f t="shared" si="30"/>
        <v>13.310411278320002</v>
      </c>
      <c r="CO58" s="12">
        <v>33.700000000000003</v>
      </c>
      <c r="CP58" s="28">
        <f t="shared" si="31"/>
        <v>40.41088829544001</v>
      </c>
      <c r="CQ58" s="12">
        <v>17.2</v>
      </c>
      <c r="CR58" s="28">
        <f t="shared" si="34"/>
        <v>282.08</v>
      </c>
      <c r="CS58" s="12">
        <v>0.19</v>
      </c>
      <c r="CT58" s="28">
        <f t="shared" si="35"/>
        <v>3.1160000000000001</v>
      </c>
      <c r="CU58" s="27">
        <v>45904</v>
      </c>
      <c r="CV58" s="11">
        <v>1</v>
      </c>
      <c r="CW58" s="11">
        <v>65</v>
      </c>
      <c r="CX58" s="11">
        <v>2</v>
      </c>
      <c r="CY58" s="11">
        <v>1</v>
      </c>
      <c r="CZ58" s="11" t="s">
        <v>93</v>
      </c>
      <c r="DA58" s="11">
        <v>1</v>
      </c>
      <c r="DB58" s="11" t="s">
        <v>309</v>
      </c>
      <c r="DC58" s="11">
        <v>0.74</v>
      </c>
      <c r="DD58" s="11">
        <v>637</v>
      </c>
      <c r="DE58" s="11">
        <v>1589</v>
      </c>
      <c r="DF58" s="11">
        <v>251</v>
      </c>
      <c r="DG58" s="11">
        <v>18281</v>
      </c>
      <c r="DH58" s="11">
        <v>3.5000000000000003E-2</v>
      </c>
      <c r="DI58" s="11">
        <v>2.4900000000000002</v>
      </c>
      <c r="DJ58" s="11">
        <v>1664</v>
      </c>
      <c r="DK58" s="11">
        <v>26.28</v>
      </c>
      <c r="DL58" s="11" t="s">
        <v>96</v>
      </c>
      <c r="DM58" s="11">
        <v>22</v>
      </c>
      <c r="DN58" s="11">
        <v>3.5</v>
      </c>
      <c r="DO58" s="11">
        <v>0.5</v>
      </c>
      <c r="DP58" s="11">
        <v>1</v>
      </c>
      <c r="DQ58" s="11">
        <v>1</v>
      </c>
      <c r="DR58" s="11">
        <v>0.5</v>
      </c>
      <c r="DS58" s="11">
        <v>0.5</v>
      </c>
      <c r="DT58" s="11">
        <v>0.5</v>
      </c>
      <c r="DU58" s="11">
        <v>0</v>
      </c>
      <c r="DV58" s="11">
        <v>347</v>
      </c>
      <c r="DW58" s="11">
        <v>61</v>
      </c>
      <c r="DX58" s="11">
        <v>2</v>
      </c>
      <c r="DY58" s="11"/>
      <c r="DZ58" s="11"/>
      <c r="EA58" s="11"/>
      <c r="EB58" s="11">
        <v>1</v>
      </c>
      <c r="EC58" s="6">
        <v>1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1</v>
      </c>
      <c r="EL58" s="6">
        <v>1</v>
      </c>
      <c r="EM58" s="6">
        <v>1</v>
      </c>
      <c r="EN58" s="6">
        <v>1</v>
      </c>
      <c r="EO58" s="6">
        <v>0</v>
      </c>
      <c r="EP58" s="6">
        <v>1</v>
      </c>
      <c r="EQ58" s="6">
        <v>1</v>
      </c>
      <c r="ER58" s="6">
        <v>0</v>
      </c>
      <c r="ES58" s="6">
        <v>1</v>
      </c>
      <c r="ET58" s="6">
        <v>0</v>
      </c>
      <c r="EU58" s="11"/>
      <c r="EV58" s="4"/>
      <c r="EW58" s="4"/>
      <c r="EX58" s="4"/>
    </row>
    <row r="59" spans="1:154" s="5" customFormat="1" ht="15.75" customHeight="1">
      <c r="A59" s="12">
        <v>13</v>
      </c>
      <c r="B59" s="12">
        <v>7039378</v>
      </c>
      <c r="C59" s="12" t="s">
        <v>179</v>
      </c>
      <c r="D59" s="12" t="s">
        <v>180</v>
      </c>
      <c r="E59" s="12">
        <v>2428232</v>
      </c>
      <c r="F59" s="12">
        <v>6069297</v>
      </c>
      <c r="G59" s="12">
        <v>5.0199999999999996</v>
      </c>
      <c r="H59" s="12">
        <v>46.8</v>
      </c>
      <c r="I59" s="12">
        <v>15.5</v>
      </c>
      <c r="J59" s="12">
        <v>161</v>
      </c>
      <c r="K59" s="12">
        <v>2.33</v>
      </c>
      <c r="L59" s="12">
        <v>53.25</v>
      </c>
      <c r="M59" s="12">
        <v>0.42</v>
      </c>
      <c r="N59" s="12">
        <v>9.6199999999999992</v>
      </c>
      <c r="O59" s="12">
        <v>0.13</v>
      </c>
      <c r="P59" s="12">
        <v>3.03</v>
      </c>
      <c r="Q59" s="12">
        <v>0.04</v>
      </c>
      <c r="R59" s="12">
        <v>0.86</v>
      </c>
      <c r="S59" s="12">
        <v>1.45</v>
      </c>
      <c r="T59" s="12">
        <v>33.24</v>
      </c>
      <c r="U59" s="12">
        <v>1671</v>
      </c>
      <c r="V59" s="12">
        <v>13.7</v>
      </c>
      <c r="W59" s="28">
        <f t="shared" si="0"/>
        <v>228.92699999999996</v>
      </c>
      <c r="X59" s="12">
        <v>39.6</v>
      </c>
      <c r="Y59" s="28">
        <f t="shared" si="1"/>
        <v>661.71600000000001</v>
      </c>
      <c r="Z59" s="12">
        <v>60</v>
      </c>
      <c r="AA59" s="28">
        <f t="shared" si="2"/>
        <v>1002.6</v>
      </c>
      <c r="AB59" s="12">
        <v>50</v>
      </c>
      <c r="AC59" s="28">
        <f t="shared" si="3"/>
        <v>835.5</v>
      </c>
      <c r="AD59" s="12">
        <v>10</v>
      </c>
      <c r="AE59" s="29">
        <f t="shared" si="4"/>
        <v>167.1</v>
      </c>
      <c r="AF59" s="6"/>
      <c r="AG59" s="6"/>
      <c r="AH59" s="12">
        <v>59.9</v>
      </c>
      <c r="AI59" s="28">
        <f t="shared" si="6"/>
        <v>1000.929</v>
      </c>
      <c r="AJ59" s="12">
        <v>55.7</v>
      </c>
      <c r="AK59" s="28">
        <f t="shared" si="7"/>
        <v>557.51745300000005</v>
      </c>
      <c r="AL59" s="12">
        <v>32.9</v>
      </c>
      <c r="AM59" s="28">
        <f t="shared" si="8"/>
        <v>183.42324203700002</v>
      </c>
      <c r="AN59" s="12">
        <v>53.7</v>
      </c>
      <c r="AO59" s="28">
        <f t="shared" si="9"/>
        <v>299.38687226100001</v>
      </c>
      <c r="AP59" s="12">
        <v>11.6</v>
      </c>
      <c r="AQ59" s="28">
        <f t="shared" si="10"/>
        <v>64.672024547999996</v>
      </c>
      <c r="AR59" s="12">
        <v>1.3</v>
      </c>
      <c r="AS59" s="28">
        <f t="shared" si="11"/>
        <v>7.2477268890000008</v>
      </c>
      <c r="AT59" s="12">
        <v>40.6</v>
      </c>
      <c r="AU59" s="28">
        <f t="shared" si="12"/>
        <v>406.37717400000002</v>
      </c>
      <c r="AV59" s="12">
        <v>21</v>
      </c>
      <c r="AW59" s="28">
        <f t="shared" si="13"/>
        <v>85.339206540000021</v>
      </c>
      <c r="AX59" s="12">
        <v>26.6</v>
      </c>
      <c r="AY59" s="28">
        <f t="shared" si="14"/>
        <v>108.09632828400001</v>
      </c>
      <c r="AZ59" s="12">
        <v>1.2</v>
      </c>
      <c r="BA59" s="28">
        <f t="shared" si="15"/>
        <v>4.8765260880000003</v>
      </c>
      <c r="BB59" s="12">
        <v>16.7</v>
      </c>
      <c r="BC59" s="28">
        <f t="shared" si="16"/>
        <v>67.864988057999994</v>
      </c>
      <c r="BD59" s="12">
        <v>34.4</v>
      </c>
      <c r="BE59" s="28">
        <f t="shared" si="17"/>
        <v>139.79374785600001</v>
      </c>
      <c r="BF59" s="12">
        <v>0.24</v>
      </c>
      <c r="BG59" s="28">
        <f t="shared" si="18"/>
        <v>2.4022295999999996</v>
      </c>
      <c r="BH59" s="12">
        <v>0.95</v>
      </c>
      <c r="BI59" s="28">
        <f t="shared" si="19"/>
        <v>9.5088254999999986</v>
      </c>
      <c r="BJ59" s="12">
        <v>2.5</v>
      </c>
      <c r="BK59" s="28">
        <f t="shared" si="20"/>
        <v>25.023224999999996</v>
      </c>
      <c r="BL59" s="12">
        <v>5.9</v>
      </c>
      <c r="BM59" s="12"/>
      <c r="BN59" s="28">
        <f t="shared" si="21"/>
        <v>32.893529727000008</v>
      </c>
      <c r="BO59" s="12">
        <v>61.5</v>
      </c>
      <c r="BP59" s="12">
        <v>25.4</v>
      </c>
      <c r="BQ59" s="12">
        <v>21.5</v>
      </c>
      <c r="BR59" s="12">
        <v>23.7</v>
      </c>
      <c r="BS59" s="12">
        <v>15.5</v>
      </c>
      <c r="BT59" s="12">
        <v>15.9</v>
      </c>
      <c r="BU59" s="12">
        <v>44.9</v>
      </c>
      <c r="BV59" s="28">
        <f t="shared" si="22"/>
        <v>2503253.3639700003</v>
      </c>
      <c r="BW59" s="12">
        <v>34.9</v>
      </c>
      <c r="BX59" s="12">
        <v>26</v>
      </c>
      <c r="BY59" s="28">
        <f t="shared" si="23"/>
        <v>650845.87463220011</v>
      </c>
      <c r="BZ59" s="12">
        <v>17.899999999999999</v>
      </c>
      <c r="CA59" s="28">
        <f t="shared" si="24"/>
        <v>448082.35215062997</v>
      </c>
      <c r="CB59" s="12">
        <v>7.8</v>
      </c>
      <c r="CC59" s="28">
        <f t="shared" si="25"/>
        <v>195253.76238966003</v>
      </c>
      <c r="CD59" s="12">
        <v>9.6</v>
      </c>
      <c r="CE59" s="28">
        <f t="shared" si="26"/>
        <v>240312.32294112002</v>
      </c>
      <c r="CF59" s="12">
        <v>3.8</v>
      </c>
      <c r="CG59" s="28">
        <f t="shared" si="27"/>
        <v>95123.627830860001</v>
      </c>
      <c r="CH59" s="12">
        <v>12.8</v>
      </c>
      <c r="CI59" s="28">
        <f t="shared" si="28"/>
        <v>71.362233984000014</v>
      </c>
      <c r="CJ59" s="12">
        <v>15.5</v>
      </c>
      <c r="CK59" s="12">
        <v>40.299999999999997</v>
      </c>
      <c r="CL59" s="28">
        <f t="shared" si="29"/>
        <v>287589.80295552005</v>
      </c>
      <c r="CM59" s="12">
        <v>15.8</v>
      </c>
      <c r="CN59" s="28">
        <f t="shared" si="30"/>
        <v>11.275232969472004</v>
      </c>
      <c r="CO59" s="12">
        <v>28.4</v>
      </c>
      <c r="CP59" s="28">
        <f t="shared" si="31"/>
        <v>20.266874451456005</v>
      </c>
      <c r="CQ59" s="12">
        <v>20</v>
      </c>
      <c r="CR59" s="28">
        <f t="shared" si="34"/>
        <v>334.2</v>
      </c>
      <c r="CS59" s="12">
        <v>0</v>
      </c>
      <c r="CT59" s="28">
        <f t="shared" si="35"/>
        <v>0</v>
      </c>
      <c r="CU59" s="27">
        <v>45835</v>
      </c>
      <c r="CV59" s="11">
        <v>0</v>
      </c>
      <c r="CW59" s="11">
        <v>58</v>
      </c>
      <c r="CX59" s="11">
        <v>3</v>
      </c>
      <c r="CY59" s="11">
        <v>2</v>
      </c>
      <c r="CZ59" s="11" t="s">
        <v>283</v>
      </c>
      <c r="DA59" s="11">
        <v>0</v>
      </c>
      <c r="DB59" s="11" t="s">
        <v>310</v>
      </c>
      <c r="DC59" s="11">
        <v>0.45</v>
      </c>
      <c r="DD59" s="11">
        <v>1028</v>
      </c>
      <c r="DE59" s="11">
        <v>185</v>
      </c>
      <c r="DF59" s="11">
        <v>27</v>
      </c>
      <c r="DG59" s="11">
        <v>9621</v>
      </c>
      <c r="DH59" s="11">
        <v>0.107</v>
      </c>
      <c r="DI59" s="11">
        <v>0.18</v>
      </c>
      <c r="DJ59" s="11">
        <v>689</v>
      </c>
      <c r="DK59" s="11">
        <v>16.29</v>
      </c>
      <c r="DL59" s="11" t="s">
        <v>95</v>
      </c>
      <c r="DM59" s="11">
        <v>25</v>
      </c>
      <c r="DN59" s="11">
        <v>6</v>
      </c>
      <c r="DO59" s="11">
        <v>1</v>
      </c>
      <c r="DP59" s="11">
        <v>1</v>
      </c>
      <c r="DQ59" s="11">
        <v>1</v>
      </c>
      <c r="DR59" s="11">
        <v>1</v>
      </c>
      <c r="DS59" s="11">
        <v>1</v>
      </c>
      <c r="DT59" s="11">
        <v>1</v>
      </c>
      <c r="DU59" s="11">
        <v>1</v>
      </c>
      <c r="DV59" s="11">
        <v>261</v>
      </c>
      <c r="DW59" s="11">
        <v>48</v>
      </c>
      <c r="DX59" s="11">
        <v>1</v>
      </c>
      <c r="DY59" s="11"/>
      <c r="DZ59" s="11"/>
      <c r="EA59" s="11"/>
      <c r="EB59" s="11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3</v>
      </c>
      <c r="EL59" s="6">
        <v>0</v>
      </c>
      <c r="EM59" s="6">
        <v>0</v>
      </c>
      <c r="EN59" s="6">
        <v>2</v>
      </c>
      <c r="EO59" s="6">
        <v>1</v>
      </c>
      <c r="EP59" s="6">
        <v>1</v>
      </c>
      <c r="EQ59" s="6">
        <v>0</v>
      </c>
      <c r="ER59" s="6">
        <v>0</v>
      </c>
      <c r="ES59" s="6">
        <v>1</v>
      </c>
      <c r="ET59" s="6">
        <v>0</v>
      </c>
      <c r="EU59" s="11"/>
      <c r="EV59" s="4"/>
      <c r="EW59" s="4"/>
      <c r="EX59" s="4"/>
    </row>
    <row r="60" spans="1:154" s="5" customFormat="1" ht="15.75" customHeight="1">
      <c r="A60" s="12">
        <v>31</v>
      </c>
      <c r="B60" s="12">
        <v>7040156</v>
      </c>
      <c r="C60" s="12" t="s">
        <v>181</v>
      </c>
      <c r="D60" s="12" t="s">
        <v>182</v>
      </c>
      <c r="E60" s="12">
        <v>3063390</v>
      </c>
      <c r="F60" s="12">
        <v>6121017</v>
      </c>
      <c r="G60" s="12">
        <v>4.58</v>
      </c>
      <c r="H60" s="12">
        <v>43.7</v>
      </c>
      <c r="I60" s="12">
        <v>14.3</v>
      </c>
      <c r="J60" s="12">
        <v>244</v>
      </c>
      <c r="K60" s="12">
        <v>5.58</v>
      </c>
      <c r="L60" s="12">
        <v>66.239999999999995</v>
      </c>
      <c r="M60" s="12">
        <v>0.91</v>
      </c>
      <c r="N60" s="12">
        <v>10.82</v>
      </c>
      <c r="O60" s="12">
        <v>0.56000000000000005</v>
      </c>
      <c r="P60" s="12">
        <v>6.63</v>
      </c>
      <c r="Q60" s="12">
        <v>7.0000000000000007E-2</v>
      </c>
      <c r="R60" s="12">
        <v>0.88</v>
      </c>
      <c r="S60" s="12">
        <v>1.3</v>
      </c>
      <c r="T60" s="12">
        <v>15.43</v>
      </c>
      <c r="U60" s="12">
        <v>1530</v>
      </c>
      <c r="V60" s="12">
        <v>8.9</v>
      </c>
      <c r="W60" s="28">
        <f t="shared" si="0"/>
        <v>136.16999999999999</v>
      </c>
      <c r="X60" s="12">
        <v>57.5</v>
      </c>
      <c r="Y60" s="28">
        <f t="shared" si="1"/>
        <v>879.75</v>
      </c>
      <c r="Z60" s="12">
        <v>40.200000000000003</v>
      </c>
      <c r="AA60" s="28">
        <f t="shared" si="2"/>
        <v>615.06000000000006</v>
      </c>
      <c r="AB60" s="12">
        <v>21</v>
      </c>
      <c r="AC60" s="28">
        <f t="shared" si="3"/>
        <v>321.3</v>
      </c>
      <c r="AD60" s="12">
        <v>18.7</v>
      </c>
      <c r="AE60" s="29">
        <f t="shared" si="4"/>
        <v>286.11</v>
      </c>
      <c r="AF60" s="30">
        <v>0.46</v>
      </c>
      <c r="AG60" s="29">
        <f t="shared" si="5"/>
        <v>7.0380000000000003</v>
      </c>
      <c r="AH60" s="12">
        <v>68.400000000000006</v>
      </c>
      <c r="AI60" s="28">
        <f t="shared" si="6"/>
        <v>1046.5200000000002</v>
      </c>
      <c r="AJ60" s="12">
        <v>68.400000000000006</v>
      </c>
      <c r="AK60" s="28">
        <f t="shared" si="7"/>
        <v>715.81968000000018</v>
      </c>
      <c r="AL60" s="12">
        <v>49.8</v>
      </c>
      <c r="AM60" s="28">
        <f t="shared" si="8"/>
        <v>356.47820064000007</v>
      </c>
      <c r="AN60" s="12">
        <v>47.4</v>
      </c>
      <c r="AO60" s="28">
        <f t="shared" si="9"/>
        <v>339.29852832000006</v>
      </c>
      <c r="AP60" s="12">
        <v>2.5</v>
      </c>
      <c r="AQ60" s="28">
        <f t="shared" si="10"/>
        <v>17.895492000000004</v>
      </c>
      <c r="AR60" s="12">
        <v>0.18</v>
      </c>
      <c r="AS60" s="28">
        <f t="shared" si="11"/>
        <v>1.2884754240000005</v>
      </c>
      <c r="AT60" s="12">
        <v>28.5</v>
      </c>
      <c r="AU60" s="28">
        <f t="shared" si="12"/>
        <v>298.25820000000004</v>
      </c>
      <c r="AV60" s="12">
        <v>30.7</v>
      </c>
      <c r="AW60" s="28">
        <f t="shared" si="13"/>
        <v>91.56526740000001</v>
      </c>
      <c r="AX60" s="12">
        <v>45.8</v>
      </c>
      <c r="AY60" s="28">
        <f t="shared" si="14"/>
        <v>136.60225560000001</v>
      </c>
      <c r="AZ60" s="12">
        <v>7.6</v>
      </c>
      <c r="BA60" s="28">
        <f t="shared" si="15"/>
        <v>22.667623200000001</v>
      </c>
      <c r="BB60" s="12">
        <v>4.9000000000000004</v>
      </c>
      <c r="BC60" s="28">
        <f t="shared" si="16"/>
        <v>14.614651800000004</v>
      </c>
      <c r="BD60" s="12">
        <v>7.8</v>
      </c>
      <c r="BE60" s="28">
        <f t="shared" si="17"/>
        <v>23.264139600000004</v>
      </c>
      <c r="BF60" s="12">
        <v>1.5</v>
      </c>
      <c r="BG60" s="28">
        <f t="shared" si="18"/>
        <v>15.697800000000003</v>
      </c>
      <c r="BH60" s="12">
        <v>0.53</v>
      </c>
      <c r="BI60" s="28">
        <f t="shared" si="19"/>
        <v>5.5465560000000016</v>
      </c>
      <c r="BJ60" s="12">
        <v>1.1000000000000001</v>
      </c>
      <c r="BK60" s="28">
        <f t="shared" si="20"/>
        <v>11.511720000000002</v>
      </c>
      <c r="BL60" s="12">
        <v>14.3</v>
      </c>
      <c r="BM60" s="12"/>
      <c r="BN60" s="28">
        <f t="shared" si="21"/>
        <v>102.36221424000003</v>
      </c>
      <c r="BO60" s="12">
        <v>61.5</v>
      </c>
      <c r="BP60" s="12">
        <v>12.7</v>
      </c>
      <c r="BQ60" s="12">
        <v>29.6</v>
      </c>
      <c r="BR60" s="12">
        <v>42.6</v>
      </c>
      <c r="BS60" s="12">
        <v>8.1999999999999993</v>
      </c>
      <c r="BT60" s="12">
        <v>7.7</v>
      </c>
      <c r="BU60" s="12">
        <v>28</v>
      </c>
      <c r="BV60" s="28">
        <f t="shared" si="22"/>
        <v>2004295.1040000003</v>
      </c>
      <c r="BW60" s="12">
        <v>25.4</v>
      </c>
      <c r="BX60" s="12">
        <v>20.5</v>
      </c>
      <c r="BY60" s="28">
        <f t="shared" si="23"/>
        <v>410880.49632000009</v>
      </c>
      <c r="BZ60" s="12">
        <v>9.5</v>
      </c>
      <c r="CA60" s="28">
        <f t="shared" si="24"/>
        <v>190408.03488000002</v>
      </c>
      <c r="CB60" s="12">
        <v>25.9</v>
      </c>
      <c r="CC60" s="28">
        <f t="shared" si="25"/>
        <v>519112.43193600007</v>
      </c>
      <c r="CD60" s="12">
        <v>15.5</v>
      </c>
      <c r="CE60" s="28">
        <f t="shared" si="26"/>
        <v>310665.74112000002</v>
      </c>
      <c r="CF60" s="12">
        <v>3.2</v>
      </c>
      <c r="CG60" s="28">
        <f t="shared" si="27"/>
        <v>64137.443328000008</v>
      </c>
      <c r="CH60" s="12">
        <v>10.8</v>
      </c>
      <c r="CI60" s="28">
        <f t="shared" si="28"/>
        <v>77.308525440000025</v>
      </c>
      <c r="CJ60" s="12">
        <v>10.1</v>
      </c>
      <c r="CK60" s="12">
        <v>28.5</v>
      </c>
      <c r="CL60" s="28">
        <f t="shared" si="29"/>
        <v>220329.29750400007</v>
      </c>
      <c r="CM60" s="12">
        <v>26.5</v>
      </c>
      <c r="CN60" s="28">
        <f t="shared" si="30"/>
        <v>20.486759241600009</v>
      </c>
      <c r="CO60" s="12">
        <v>34.9</v>
      </c>
      <c r="CP60" s="28">
        <f t="shared" si="31"/>
        <v>26.980675378560008</v>
      </c>
      <c r="CQ60" s="12">
        <v>13.2</v>
      </c>
      <c r="CR60" s="28">
        <f t="shared" si="34"/>
        <v>201.96</v>
      </c>
      <c r="CS60" s="12">
        <v>0.31</v>
      </c>
      <c r="CT60" s="28">
        <f t="shared" si="35"/>
        <v>4.7430000000000003</v>
      </c>
      <c r="CU60" s="27">
        <v>45883</v>
      </c>
      <c r="CV60" s="11">
        <v>0</v>
      </c>
      <c r="CW60" s="11">
        <v>62</v>
      </c>
      <c r="CX60" s="11">
        <v>3</v>
      </c>
      <c r="CY60" s="11">
        <v>2</v>
      </c>
      <c r="CZ60" s="11" t="s">
        <v>283</v>
      </c>
      <c r="DA60" s="11">
        <v>0</v>
      </c>
      <c r="DB60" s="11" t="s">
        <v>196</v>
      </c>
      <c r="DC60" s="11">
        <v>0.23</v>
      </c>
      <c r="DD60" s="11">
        <v>1.484</v>
      </c>
      <c r="DE60" s="31">
        <v>310</v>
      </c>
      <c r="DF60" s="11">
        <v>37</v>
      </c>
      <c r="DG60" s="11">
        <v>15234</v>
      </c>
      <c r="DH60" s="11">
        <v>9.7000000000000003E-2</v>
      </c>
      <c r="DI60" s="11">
        <v>0.21</v>
      </c>
      <c r="DJ60" s="11">
        <v>5988</v>
      </c>
      <c r="DK60" s="11">
        <v>15.06</v>
      </c>
      <c r="DL60" s="11" t="s">
        <v>95</v>
      </c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>
        <v>1</v>
      </c>
      <c r="DY60" s="11"/>
      <c r="DZ60" s="11"/>
      <c r="EA60" s="11"/>
      <c r="EB60" s="11">
        <v>1</v>
      </c>
      <c r="EC60" s="6">
        <v>1</v>
      </c>
      <c r="ED60" s="6">
        <v>1</v>
      </c>
      <c r="EE60" s="6">
        <v>0</v>
      </c>
      <c r="EF60" s="6">
        <v>0</v>
      </c>
      <c r="EG60" s="6">
        <v>1</v>
      </c>
      <c r="EH60" s="6">
        <v>1</v>
      </c>
      <c r="EI60" s="6">
        <v>0</v>
      </c>
      <c r="EJ60" s="6">
        <v>0</v>
      </c>
      <c r="EK60" s="6">
        <v>1</v>
      </c>
      <c r="EL60" s="6">
        <v>1</v>
      </c>
      <c r="EM60" s="6">
        <v>1</v>
      </c>
      <c r="EN60" s="6">
        <v>1</v>
      </c>
      <c r="EO60" s="6">
        <v>0</v>
      </c>
      <c r="EP60" s="6">
        <v>0</v>
      </c>
      <c r="EQ60" s="6">
        <v>1</v>
      </c>
      <c r="ER60" s="6">
        <v>0</v>
      </c>
      <c r="ES60" s="6">
        <v>0</v>
      </c>
      <c r="ET60" s="6">
        <v>0</v>
      </c>
      <c r="EU60" s="9" t="s">
        <v>311</v>
      </c>
      <c r="EV60" s="4"/>
      <c r="EW60" s="4"/>
      <c r="EX60" s="4"/>
    </row>
    <row r="61" spans="1:154" s="5" customFormat="1" ht="15.75" customHeight="1">
      <c r="A61" s="12">
        <v>75</v>
      </c>
      <c r="B61" s="12">
        <v>7042328</v>
      </c>
      <c r="C61" s="12" t="s">
        <v>183</v>
      </c>
      <c r="D61" s="12" t="s">
        <v>184</v>
      </c>
      <c r="E61" s="12">
        <v>2903121</v>
      </c>
      <c r="F61" s="12">
        <v>6170560</v>
      </c>
      <c r="G61" s="12">
        <v>4.3099999999999996</v>
      </c>
      <c r="H61" s="12">
        <v>37.299999999999997</v>
      </c>
      <c r="I61" s="12">
        <v>12.7</v>
      </c>
      <c r="J61" s="12">
        <v>211</v>
      </c>
      <c r="K61" s="12">
        <v>3.95</v>
      </c>
      <c r="L61" s="12">
        <v>64.709999999999994</v>
      </c>
      <c r="M61" s="12">
        <v>0.47</v>
      </c>
      <c r="N61" s="12">
        <v>7.75</v>
      </c>
      <c r="O61" s="12">
        <v>0.2</v>
      </c>
      <c r="P61" s="12">
        <v>3.26</v>
      </c>
      <c r="Q61" s="12">
        <v>0.03</v>
      </c>
      <c r="R61" s="12">
        <v>0.47</v>
      </c>
      <c r="S61" s="12">
        <v>1.45</v>
      </c>
      <c r="T61" s="12">
        <v>23.81</v>
      </c>
      <c r="U61" s="12">
        <v>1402</v>
      </c>
      <c r="V61" s="12">
        <v>9</v>
      </c>
      <c r="W61" s="28">
        <f t="shared" si="0"/>
        <v>126.18</v>
      </c>
      <c r="X61" s="12">
        <v>65.599999999999994</v>
      </c>
      <c r="Y61" s="28">
        <f t="shared" si="1"/>
        <v>919.71199999999999</v>
      </c>
      <c r="Z61" s="12">
        <v>34.299999999999997</v>
      </c>
      <c r="AA61" s="28">
        <f t="shared" si="2"/>
        <v>480.88599999999997</v>
      </c>
      <c r="AB61" s="12">
        <v>19.399999999999999</v>
      </c>
      <c r="AC61" s="28">
        <f t="shared" si="3"/>
        <v>271.988</v>
      </c>
      <c r="AD61" s="12">
        <v>13.2</v>
      </c>
      <c r="AE61" s="29">
        <f t="shared" si="4"/>
        <v>185.06399999999996</v>
      </c>
      <c r="AF61" s="30">
        <v>1.7</v>
      </c>
      <c r="AG61" s="29">
        <f t="shared" si="5"/>
        <v>23.834</v>
      </c>
      <c r="AH61" s="12">
        <v>64.3</v>
      </c>
      <c r="AI61" s="28">
        <f t="shared" si="6"/>
        <v>901.48599999999988</v>
      </c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28"/>
      <c r="BD61" s="12"/>
      <c r="BE61" s="28"/>
      <c r="BF61" s="12"/>
      <c r="BG61" s="28"/>
      <c r="BH61" s="12"/>
      <c r="BI61" s="28"/>
      <c r="BJ61" s="12">
        <v>4.3</v>
      </c>
      <c r="BK61" s="28">
        <f t="shared" si="20"/>
        <v>38.763897999999998</v>
      </c>
      <c r="BL61" s="12"/>
      <c r="BM61" s="12"/>
      <c r="BN61" s="28"/>
      <c r="BO61" s="12"/>
      <c r="BP61" s="12"/>
      <c r="BQ61" s="12"/>
      <c r="BR61" s="12"/>
      <c r="BS61" s="12"/>
      <c r="BT61" s="12"/>
      <c r="BU61" s="12"/>
      <c r="BV61" s="28"/>
      <c r="BW61" s="12"/>
      <c r="BX61" s="12"/>
      <c r="BY61" s="28"/>
      <c r="BZ61" s="12"/>
      <c r="CA61" s="28"/>
      <c r="CB61" s="12"/>
      <c r="CC61" s="28"/>
      <c r="CD61" s="12"/>
      <c r="CE61" s="28"/>
      <c r="CF61" s="12"/>
      <c r="CG61" s="28"/>
      <c r="CH61" s="12"/>
      <c r="CI61" s="12"/>
      <c r="CJ61" s="12"/>
      <c r="CK61" s="12"/>
      <c r="CL61" s="12"/>
      <c r="CM61" s="12"/>
      <c r="CN61" s="12"/>
      <c r="CO61" s="12"/>
      <c r="CP61" s="12"/>
      <c r="CQ61" s="12">
        <v>16.399999999999999</v>
      </c>
      <c r="CR61" s="28">
        <f t="shared" si="34"/>
        <v>229.928</v>
      </c>
      <c r="CS61" s="12">
        <v>0.54</v>
      </c>
      <c r="CT61" s="28">
        <f t="shared" si="35"/>
        <v>7.5708000000000002</v>
      </c>
      <c r="CU61" s="27">
        <v>45995</v>
      </c>
      <c r="CV61" s="11">
        <v>1</v>
      </c>
      <c r="CW61" s="11">
        <v>76</v>
      </c>
      <c r="CX61" s="11">
        <v>3</v>
      </c>
      <c r="CY61" s="11">
        <v>2</v>
      </c>
      <c r="CZ61" s="11" t="s">
        <v>283</v>
      </c>
      <c r="DA61" s="11">
        <v>0</v>
      </c>
      <c r="DB61" s="11" t="s">
        <v>312</v>
      </c>
      <c r="DC61" s="11">
        <v>0.16</v>
      </c>
      <c r="DD61" s="11">
        <v>1439</v>
      </c>
      <c r="DE61" s="11">
        <v>319</v>
      </c>
      <c r="DF61" s="11">
        <v>39</v>
      </c>
      <c r="DG61" s="11">
        <v>13154</v>
      </c>
      <c r="DH61" s="11">
        <v>0.109</v>
      </c>
      <c r="DI61" s="11">
        <v>0.22</v>
      </c>
      <c r="DJ61" s="11">
        <v>364</v>
      </c>
      <c r="DK61" s="11">
        <v>14.21</v>
      </c>
      <c r="DL61" s="11" t="s">
        <v>95</v>
      </c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>
        <v>1</v>
      </c>
      <c r="DY61" s="11"/>
      <c r="DZ61" s="11"/>
      <c r="EA61" s="11"/>
      <c r="EB61" s="11">
        <v>1</v>
      </c>
      <c r="EC61" s="6">
        <v>0</v>
      </c>
      <c r="ED61" s="6">
        <v>1</v>
      </c>
      <c r="EE61" s="6">
        <v>0</v>
      </c>
      <c r="EF61" s="6">
        <v>0</v>
      </c>
      <c r="EG61" s="6">
        <v>0</v>
      </c>
      <c r="EH61" s="6">
        <v>1</v>
      </c>
      <c r="EI61" s="6">
        <v>0</v>
      </c>
      <c r="EJ61" s="6">
        <v>0</v>
      </c>
      <c r="EK61" s="6">
        <v>2</v>
      </c>
      <c r="EL61" s="6"/>
      <c r="EM61" s="6"/>
      <c r="EN61" s="6">
        <v>2</v>
      </c>
      <c r="EO61" s="6">
        <v>0</v>
      </c>
      <c r="EP61" s="6">
        <v>0</v>
      </c>
      <c r="EQ61" s="6">
        <v>1</v>
      </c>
      <c r="ER61" s="6">
        <v>0</v>
      </c>
      <c r="ES61" s="6">
        <v>0</v>
      </c>
      <c r="ET61" s="6">
        <v>1</v>
      </c>
      <c r="EU61" s="11"/>
      <c r="EV61" s="4"/>
      <c r="EW61" s="4"/>
      <c r="EX61" s="4"/>
    </row>
    <row r="62" spans="1:154" s="5" customFormat="1" ht="15.75" customHeight="1">
      <c r="A62" s="12">
        <v>16</v>
      </c>
      <c r="B62" s="12">
        <v>7039494</v>
      </c>
      <c r="C62" s="12" t="s">
        <v>60</v>
      </c>
      <c r="D62" s="12" t="s">
        <v>185</v>
      </c>
      <c r="E62" s="12">
        <v>2873480</v>
      </c>
      <c r="F62" s="12">
        <v>6179633</v>
      </c>
      <c r="G62" s="12">
        <v>4.1900000000000004</v>
      </c>
      <c r="H62" s="12">
        <v>40.799999999999997</v>
      </c>
      <c r="I62" s="12">
        <v>13.9</v>
      </c>
      <c r="J62" s="12">
        <v>198</v>
      </c>
      <c r="K62" s="12">
        <v>4.13</v>
      </c>
      <c r="L62" s="12">
        <v>62.7</v>
      </c>
      <c r="M62" s="12">
        <v>0.56000000000000005</v>
      </c>
      <c r="N62" s="12">
        <v>8.5500000000000007</v>
      </c>
      <c r="O62" s="12">
        <v>0.14000000000000001</v>
      </c>
      <c r="P62" s="12">
        <v>2.13</v>
      </c>
      <c r="Q62" s="12">
        <v>0.06</v>
      </c>
      <c r="R62" s="12">
        <v>0.89</v>
      </c>
      <c r="S62" s="12">
        <v>1.7</v>
      </c>
      <c r="T62" s="12">
        <v>25.73</v>
      </c>
      <c r="U62" s="12">
        <v>1989</v>
      </c>
      <c r="V62" s="12">
        <v>6.4</v>
      </c>
      <c r="W62" s="28">
        <f t="shared" si="0"/>
        <v>127.29600000000001</v>
      </c>
      <c r="X62" s="12">
        <v>75.5</v>
      </c>
      <c r="Y62" s="28">
        <f t="shared" si="1"/>
        <v>1501.6949999999999</v>
      </c>
      <c r="Z62" s="12">
        <v>23.1</v>
      </c>
      <c r="AA62" s="28">
        <f t="shared" si="2"/>
        <v>459.459</v>
      </c>
      <c r="AB62" s="12">
        <v>9.3000000000000007</v>
      </c>
      <c r="AC62" s="28">
        <f t="shared" si="3"/>
        <v>184.977</v>
      </c>
      <c r="AD62" s="12">
        <v>13.8</v>
      </c>
      <c r="AE62" s="29">
        <f t="shared" si="4"/>
        <v>274.48200000000003</v>
      </c>
      <c r="AF62" s="6"/>
      <c r="AG62" s="6"/>
      <c r="AH62" s="12">
        <v>71.2</v>
      </c>
      <c r="AI62" s="28">
        <f t="shared" si="6"/>
        <v>1416.1680000000001</v>
      </c>
      <c r="AJ62" s="12">
        <v>63.7</v>
      </c>
      <c r="AK62" s="28">
        <f t="shared" si="7"/>
        <v>902.09901600000012</v>
      </c>
      <c r="AL62" s="12">
        <v>23.6</v>
      </c>
      <c r="AM62" s="28">
        <f t="shared" si="8"/>
        <v>212.89536777600006</v>
      </c>
      <c r="AN62" s="12">
        <v>52</v>
      </c>
      <c r="AO62" s="28">
        <f t="shared" si="9"/>
        <v>469.09148832000005</v>
      </c>
      <c r="AP62" s="12">
        <v>19.100000000000001</v>
      </c>
      <c r="AQ62" s="28">
        <f t="shared" si="10"/>
        <v>172.30091205600004</v>
      </c>
      <c r="AR62" s="12">
        <v>5.2</v>
      </c>
      <c r="AS62" s="28">
        <f t="shared" si="11"/>
        <v>46.909148832000007</v>
      </c>
      <c r="AT62" s="12">
        <v>24.1</v>
      </c>
      <c r="AU62" s="28">
        <f t="shared" si="12"/>
        <v>341.29648800000001</v>
      </c>
      <c r="AV62" s="12">
        <v>17.600000000000001</v>
      </c>
      <c r="AW62" s="28">
        <f t="shared" si="13"/>
        <v>60.068181888000005</v>
      </c>
      <c r="AX62" s="12">
        <v>45.2</v>
      </c>
      <c r="AY62" s="28">
        <f t="shared" si="14"/>
        <v>154.26601257600001</v>
      </c>
      <c r="AZ62" s="12">
        <v>6.1</v>
      </c>
      <c r="BA62" s="28">
        <f t="shared" si="15"/>
        <v>20.819085768000001</v>
      </c>
      <c r="BB62" s="12">
        <v>4.0999999999999996</v>
      </c>
      <c r="BC62" s="28">
        <f t="shared" si="16"/>
        <v>13.993156007999998</v>
      </c>
      <c r="BD62" s="12">
        <v>27</v>
      </c>
      <c r="BE62" s="28">
        <f t="shared" si="17"/>
        <v>92.150051760000011</v>
      </c>
      <c r="BF62" s="12">
        <v>1.2</v>
      </c>
      <c r="BG62" s="28">
        <f t="shared" si="18"/>
        <v>16.994016000000002</v>
      </c>
      <c r="BH62" s="12">
        <v>0.53</v>
      </c>
      <c r="BI62" s="28">
        <f t="shared" si="19"/>
        <v>7.5056904000000007</v>
      </c>
      <c r="BJ62" s="12">
        <v>10.5</v>
      </c>
      <c r="BK62" s="28">
        <f t="shared" si="20"/>
        <v>148.69764000000001</v>
      </c>
      <c r="BL62" s="12">
        <v>9</v>
      </c>
      <c r="BM62" s="12"/>
      <c r="BN62" s="28">
        <f t="shared" si="21"/>
        <v>81.188911440000012</v>
      </c>
      <c r="BO62" s="12">
        <v>67.400000000000006</v>
      </c>
      <c r="BP62" s="12">
        <v>22.7</v>
      </c>
      <c r="BQ62" s="12">
        <v>9.5</v>
      </c>
      <c r="BR62" s="12">
        <v>19.399999999999999</v>
      </c>
      <c r="BS62" s="12">
        <v>10.199999999999999</v>
      </c>
      <c r="BT62" s="12">
        <v>12.8</v>
      </c>
      <c r="BU62" s="12">
        <v>52.2</v>
      </c>
      <c r="BV62" s="28">
        <f t="shared" si="22"/>
        <v>4708956.8635200011</v>
      </c>
      <c r="BW62" s="12">
        <v>41.2</v>
      </c>
      <c r="BX62" s="12">
        <v>15.6</v>
      </c>
      <c r="BY62" s="28">
        <f t="shared" si="23"/>
        <v>734597.2707091202</v>
      </c>
      <c r="BZ62" s="12">
        <v>27.1</v>
      </c>
      <c r="CA62" s="28">
        <f t="shared" si="24"/>
        <v>1276127.3100139203</v>
      </c>
      <c r="CB62" s="12">
        <v>6.8</v>
      </c>
      <c r="CC62" s="28">
        <f t="shared" si="25"/>
        <v>320209.06671936007</v>
      </c>
      <c r="CD62" s="12">
        <v>6.4</v>
      </c>
      <c r="CE62" s="28">
        <f t="shared" si="26"/>
        <v>301373.23926528008</v>
      </c>
      <c r="CF62" s="12">
        <v>2.9</v>
      </c>
      <c r="CG62" s="28">
        <f t="shared" si="27"/>
        <v>136559.74904208002</v>
      </c>
      <c r="CH62" s="12">
        <v>12.3</v>
      </c>
      <c r="CI62" s="28">
        <f t="shared" si="28"/>
        <v>110.95817896800003</v>
      </c>
      <c r="CJ62" s="12">
        <v>22</v>
      </c>
      <c r="CK62" s="12">
        <v>40.5</v>
      </c>
      <c r="CL62" s="28">
        <f t="shared" si="29"/>
        <v>449380.62482040015</v>
      </c>
      <c r="CM62" s="12">
        <v>10.3</v>
      </c>
      <c r="CN62" s="28">
        <f t="shared" si="30"/>
        <v>11.428692433704004</v>
      </c>
      <c r="CO62" s="12">
        <v>27.2</v>
      </c>
      <c r="CP62" s="28">
        <f t="shared" si="31"/>
        <v>30.180624679296006</v>
      </c>
      <c r="CQ62" s="12">
        <v>18.399999999999999</v>
      </c>
      <c r="CR62" s="28">
        <f t="shared" si="34"/>
        <v>365.976</v>
      </c>
      <c r="CS62" s="12">
        <v>0.4</v>
      </c>
      <c r="CT62" s="28">
        <f t="shared" si="35"/>
        <v>7.9560000000000004</v>
      </c>
      <c r="CU62" s="27">
        <v>45841</v>
      </c>
      <c r="CV62" s="11">
        <v>1</v>
      </c>
      <c r="CW62" s="11">
        <v>69</v>
      </c>
      <c r="CX62" s="11">
        <v>0</v>
      </c>
      <c r="CY62" s="11">
        <v>0</v>
      </c>
      <c r="CZ62" s="11" t="s">
        <v>263</v>
      </c>
      <c r="DA62" s="11">
        <v>0</v>
      </c>
      <c r="DB62" s="11" t="s">
        <v>197</v>
      </c>
      <c r="DC62" s="11">
        <v>0.11</v>
      </c>
      <c r="DD62" s="11">
        <v>1079</v>
      </c>
      <c r="DE62" s="11">
        <v>336</v>
      </c>
      <c r="DF62" s="11">
        <v>44</v>
      </c>
      <c r="DG62" s="11">
        <v>11329</v>
      </c>
      <c r="DH62" s="11">
        <v>9.5000000000000001E-2</v>
      </c>
      <c r="DI62" s="11">
        <v>0.31</v>
      </c>
      <c r="DJ62" s="11">
        <v>749</v>
      </c>
      <c r="DK62" s="11">
        <v>13.14</v>
      </c>
      <c r="DL62" s="11" t="s">
        <v>95</v>
      </c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>
        <v>1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1</v>
      </c>
      <c r="EJ62" s="6">
        <v>0</v>
      </c>
      <c r="EK62" s="6">
        <v>1</v>
      </c>
      <c r="EL62" s="6">
        <v>0</v>
      </c>
      <c r="EM62" s="6">
        <v>0</v>
      </c>
      <c r="EN62" s="6">
        <v>1</v>
      </c>
      <c r="EO62" s="6">
        <v>0</v>
      </c>
      <c r="EP62" s="6">
        <v>1</v>
      </c>
      <c r="EQ62" s="6">
        <v>1</v>
      </c>
      <c r="ER62" s="6">
        <v>0</v>
      </c>
      <c r="ES62" s="6">
        <v>1</v>
      </c>
      <c r="ET62" s="6">
        <v>0</v>
      </c>
      <c r="EU62" s="9" t="s">
        <v>402</v>
      </c>
      <c r="EV62" s="4"/>
      <c r="EW62" s="4"/>
      <c r="EX62" s="4"/>
    </row>
    <row r="63" spans="1:154" s="5" customFormat="1" ht="15.75" customHeight="1">
      <c r="A63" s="12">
        <v>6</v>
      </c>
      <c r="B63" s="12">
        <v>7039183</v>
      </c>
      <c r="C63" s="12" t="s">
        <v>186</v>
      </c>
      <c r="D63" s="12" t="s">
        <v>187</v>
      </c>
      <c r="E63" s="12">
        <v>4373207</v>
      </c>
      <c r="F63" s="12">
        <v>6204042</v>
      </c>
      <c r="G63" s="12">
        <v>4.47</v>
      </c>
      <c r="H63" s="12">
        <v>39.5</v>
      </c>
      <c r="I63" s="12">
        <v>12.9</v>
      </c>
      <c r="J63" s="12">
        <v>184</v>
      </c>
      <c r="K63" s="12">
        <v>2.25</v>
      </c>
      <c r="L63" s="12">
        <v>51.49</v>
      </c>
      <c r="M63" s="12">
        <v>0.48</v>
      </c>
      <c r="N63" s="12">
        <v>10.97</v>
      </c>
      <c r="O63" s="12">
        <v>0.2</v>
      </c>
      <c r="P63" s="12">
        <v>4.59</v>
      </c>
      <c r="Q63" s="12">
        <v>0.02</v>
      </c>
      <c r="R63" s="12">
        <v>0.5</v>
      </c>
      <c r="S63" s="12">
        <v>1.42</v>
      </c>
      <c r="T63" s="12">
        <v>32.450000000000003</v>
      </c>
      <c r="U63" s="12">
        <v>1604</v>
      </c>
      <c r="V63" s="12">
        <v>8.1999999999999993</v>
      </c>
      <c r="W63" s="28">
        <f t="shared" si="0"/>
        <v>131.52799999999999</v>
      </c>
      <c r="X63" s="12">
        <v>83.7</v>
      </c>
      <c r="Y63" s="28">
        <f t="shared" si="1"/>
        <v>1342.5480000000002</v>
      </c>
      <c r="Z63" s="12">
        <v>12.7</v>
      </c>
      <c r="AA63" s="28">
        <f t="shared" si="2"/>
        <v>203.708</v>
      </c>
      <c r="AB63" s="12">
        <v>4.7</v>
      </c>
      <c r="AC63" s="28">
        <f t="shared" si="3"/>
        <v>75.388000000000005</v>
      </c>
      <c r="AD63" s="12">
        <v>8</v>
      </c>
      <c r="AE63" s="29">
        <f t="shared" si="4"/>
        <v>128.32</v>
      </c>
      <c r="AF63" s="6"/>
      <c r="AG63" s="6"/>
      <c r="AH63" s="12">
        <v>78.7</v>
      </c>
      <c r="AI63" s="28">
        <f t="shared" si="6"/>
        <v>1262.348</v>
      </c>
      <c r="AJ63" s="12">
        <v>53.5</v>
      </c>
      <c r="AK63" s="28">
        <f t="shared" si="7"/>
        <v>675.35617999999999</v>
      </c>
      <c r="AL63" s="12">
        <v>28.7</v>
      </c>
      <c r="AM63" s="28">
        <f t="shared" si="8"/>
        <v>193.82722365999999</v>
      </c>
      <c r="AN63" s="12">
        <v>55.3</v>
      </c>
      <c r="AO63" s="28">
        <f t="shared" si="9"/>
        <v>373.47196753999998</v>
      </c>
      <c r="AP63" s="12">
        <v>15.6</v>
      </c>
      <c r="AQ63" s="28">
        <f t="shared" si="10"/>
        <v>105.35556408000001</v>
      </c>
      <c r="AR63" s="12">
        <v>0.36</v>
      </c>
      <c r="AS63" s="28">
        <f t="shared" si="11"/>
        <v>2.431282248</v>
      </c>
      <c r="AT63" s="12">
        <v>41.1</v>
      </c>
      <c r="AU63" s="28">
        <f t="shared" si="12"/>
        <v>518.82502799999997</v>
      </c>
      <c r="AV63" s="12">
        <v>6.8</v>
      </c>
      <c r="AW63" s="28">
        <f t="shared" si="13"/>
        <v>35.280101903999999</v>
      </c>
      <c r="AX63" s="12">
        <v>21.1</v>
      </c>
      <c r="AY63" s="28">
        <f t="shared" si="14"/>
        <v>109.47208090800001</v>
      </c>
      <c r="AZ63" s="12">
        <v>2</v>
      </c>
      <c r="BA63" s="28">
        <f t="shared" si="15"/>
        <v>10.37650056</v>
      </c>
      <c r="BB63" s="12">
        <v>15.3</v>
      </c>
      <c r="BC63" s="28">
        <f t="shared" si="16"/>
        <v>79.380229283999995</v>
      </c>
      <c r="BD63" s="12">
        <v>54.8</v>
      </c>
      <c r="BE63" s="28">
        <f t="shared" si="17"/>
        <v>284.31611534399997</v>
      </c>
      <c r="BF63" s="12">
        <v>0.35</v>
      </c>
      <c r="BG63" s="28">
        <f t="shared" si="18"/>
        <v>4.4182179999999995</v>
      </c>
      <c r="BH63" s="12">
        <v>0.73</v>
      </c>
      <c r="BI63" s="28">
        <f t="shared" si="19"/>
        <v>9.2151403999999992</v>
      </c>
      <c r="BJ63" s="12">
        <v>4.3</v>
      </c>
      <c r="BK63" s="28">
        <f t="shared" si="20"/>
        <v>54.280963999999997</v>
      </c>
      <c r="BL63" s="12">
        <v>6.2</v>
      </c>
      <c r="BM63" s="12"/>
      <c r="BN63" s="28">
        <f t="shared" si="21"/>
        <v>41.872083160000003</v>
      </c>
      <c r="BO63" s="12">
        <v>72.2</v>
      </c>
      <c r="BP63" s="12">
        <v>33.9</v>
      </c>
      <c r="BQ63" s="12">
        <v>15.8</v>
      </c>
      <c r="BR63" s="12">
        <v>23.9</v>
      </c>
      <c r="BS63" s="12">
        <v>3.7</v>
      </c>
      <c r="BT63" s="12">
        <v>11.9</v>
      </c>
      <c r="BU63" s="12">
        <v>53.1</v>
      </c>
      <c r="BV63" s="28">
        <f t="shared" si="22"/>
        <v>3586141.3158000004</v>
      </c>
      <c r="BW63" s="12">
        <v>26.7</v>
      </c>
      <c r="BX63" s="12">
        <v>6.2</v>
      </c>
      <c r="BY63" s="28">
        <f t="shared" si="23"/>
        <v>222340.76157960005</v>
      </c>
      <c r="BZ63" s="12">
        <v>34.1</v>
      </c>
      <c r="CA63" s="28">
        <f t="shared" si="24"/>
        <v>1222874.1886878002</v>
      </c>
      <c r="CB63" s="12">
        <v>27.4</v>
      </c>
      <c r="CC63" s="28">
        <f t="shared" si="25"/>
        <v>982602.72052920016</v>
      </c>
      <c r="CD63" s="12">
        <v>5.4</v>
      </c>
      <c r="CE63" s="28">
        <f t="shared" si="26"/>
        <v>193651.63105320002</v>
      </c>
      <c r="CF63" s="12">
        <v>0.17</v>
      </c>
      <c r="CG63" s="28">
        <f t="shared" si="27"/>
        <v>6096.4402368600013</v>
      </c>
      <c r="CH63" s="12">
        <v>22.8</v>
      </c>
      <c r="CI63" s="28">
        <f t="shared" si="28"/>
        <v>153.98120904000001</v>
      </c>
      <c r="CJ63" s="12">
        <v>10.9</v>
      </c>
      <c r="CK63" s="12">
        <v>43.3</v>
      </c>
      <c r="CL63" s="28">
        <f t="shared" si="29"/>
        <v>666738.63514320005</v>
      </c>
      <c r="CM63" s="12">
        <v>18.399999999999999</v>
      </c>
      <c r="CN63" s="28">
        <f t="shared" si="30"/>
        <v>28.332542463359999</v>
      </c>
      <c r="CO63" s="12">
        <v>27.4</v>
      </c>
      <c r="CP63" s="28">
        <f t="shared" si="31"/>
        <v>42.190851276960004</v>
      </c>
      <c r="CQ63" s="12">
        <v>10.5</v>
      </c>
      <c r="CR63" s="28">
        <f t="shared" si="34"/>
        <v>168.42</v>
      </c>
      <c r="CS63" s="12">
        <v>0</v>
      </c>
      <c r="CT63" s="28">
        <f t="shared" si="35"/>
        <v>0</v>
      </c>
      <c r="CU63" s="27">
        <v>45822</v>
      </c>
      <c r="CV63" s="11">
        <v>1</v>
      </c>
      <c r="CW63" s="11">
        <v>68</v>
      </c>
      <c r="CX63" s="11">
        <v>0</v>
      </c>
      <c r="CY63" s="11">
        <v>0</v>
      </c>
      <c r="CZ63" s="11" t="s">
        <v>263</v>
      </c>
      <c r="DA63" s="11">
        <v>0</v>
      </c>
      <c r="DB63" s="11" t="s">
        <v>313</v>
      </c>
      <c r="DC63" s="11">
        <v>0.15</v>
      </c>
      <c r="DD63" s="11">
        <v>1789</v>
      </c>
      <c r="DE63" s="11">
        <v>354</v>
      </c>
      <c r="DF63" s="11">
        <v>45</v>
      </c>
      <c r="DG63" s="11">
        <v>17113</v>
      </c>
      <c r="DH63" s="11">
        <v>0.105</v>
      </c>
      <c r="DI63" s="11">
        <v>0.2</v>
      </c>
      <c r="DJ63" s="11">
        <v>778</v>
      </c>
      <c r="DK63" s="11">
        <v>9.4700000000000006</v>
      </c>
      <c r="DL63" s="11" t="s">
        <v>95</v>
      </c>
      <c r="DM63" s="11">
        <v>20</v>
      </c>
      <c r="DN63" s="11">
        <v>1</v>
      </c>
      <c r="DO63" s="11">
        <v>0.5</v>
      </c>
      <c r="DP63" s="11">
        <v>0.5</v>
      </c>
      <c r="DQ63" s="11">
        <v>0</v>
      </c>
      <c r="DR63" s="11">
        <v>0.5</v>
      </c>
      <c r="DS63" s="11">
        <v>0</v>
      </c>
      <c r="DT63" s="11">
        <v>0</v>
      </c>
      <c r="DU63" s="11">
        <v>0</v>
      </c>
      <c r="DV63" s="11">
        <v>307</v>
      </c>
      <c r="DW63" s="11">
        <v>53</v>
      </c>
      <c r="DX63" s="11"/>
      <c r="DY63" s="11"/>
      <c r="DZ63" s="11"/>
      <c r="EA63" s="11"/>
      <c r="EB63" s="11">
        <v>0</v>
      </c>
      <c r="EC63" s="6">
        <v>0</v>
      </c>
      <c r="ED63" s="6">
        <v>0</v>
      </c>
      <c r="EE63" s="6">
        <v>1</v>
      </c>
      <c r="EF63" s="6">
        <v>0</v>
      </c>
      <c r="EG63" s="6">
        <v>1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1</v>
      </c>
      <c r="EO63" s="6">
        <v>1</v>
      </c>
      <c r="EP63" s="6">
        <v>0</v>
      </c>
      <c r="EQ63" s="6">
        <v>1</v>
      </c>
      <c r="ER63" s="6">
        <v>1</v>
      </c>
      <c r="ES63" s="6">
        <v>1</v>
      </c>
      <c r="ET63" s="6">
        <v>0</v>
      </c>
      <c r="EU63" s="9" t="s">
        <v>403</v>
      </c>
      <c r="EV63" s="4"/>
      <c r="EW63" s="4"/>
      <c r="EX63" s="4"/>
    </row>
    <row r="64" spans="1:154" s="5" customFormat="1" ht="15.75" customHeight="1">
      <c r="A64" s="12">
        <v>32</v>
      </c>
      <c r="B64" s="12">
        <v>7040158</v>
      </c>
      <c r="C64" s="12" t="s">
        <v>188</v>
      </c>
      <c r="D64" s="12" t="s">
        <v>189</v>
      </c>
      <c r="E64" s="12">
        <v>2832516</v>
      </c>
      <c r="F64" s="12">
        <v>6266114</v>
      </c>
      <c r="G64" s="12">
        <v>4.49</v>
      </c>
      <c r="H64" s="12">
        <v>42.6</v>
      </c>
      <c r="I64" s="12">
        <v>14</v>
      </c>
      <c r="J64" s="12">
        <v>205</v>
      </c>
      <c r="K64" s="12">
        <v>2.66</v>
      </c>
      <c r="L64" s="12">
        <v>52.06</v>
      </c>
      <c r="M64" s="12">
        <v>0.55000000000000004</v>
      </c>
      <c r="N64" s="12">
        <v>10.81</v>
      </c>
      <c r="O64" s="12">
        <v>0.11</v>
      </c>
      <c r="P64" s="12">
        <v>2.23</v>
      </c>
      <c r="Q64" s="12">
        <v>0.04</v>
      </c>
      <c r="R64" s="12">
        <v>0.75</v>
      </c>
      <c r="S64" s="12">
        <v>1.75</v>
      </c>
      <c r="T64" s="12">
        <v>34.15</v>
      </c>
      <c r="U64" s="12">
        <v>2060</v>
      </c>
      <c r="V64" s="12">
        <v>9.9</v>
      </c>
      <c r="W64" s="28">
        <f t="shared" si="0"/>
        <v>203.94</v>
      </c>
      <c r="X64" s="12">
        <v>55.4</v>
      </c>
      <c r="Y64" s="28">
        <f t="shared" si="1"/>
        <v>1141.24</v>
      </c>
      <c r="Z64" s="12">
        <v>40.6</v>
      </c>
      <c r="AA64" s="28">
        <f t="shared" si="2"/>
        <v>836.36</v>
      </c>
      <c r="AB64" s="12">
        <v>25.4</v>
      </c>
      <c r="AC64" s="28">
        <f t="shared" si="3"/>
        <v>523.24</v>
      </c>
      <c r="AD64" s="12">
        <v>13.7</v>
      </c>
      <c r="AE64" s="29">
        <f t="shared" si="4"/>
        <v>282.22000000000003</v>
      </c>
      <c r="AF64" s="30">
        <v>1.5</v>
      </c>
      <c r="AG64" s="29">
        <f t="shared" si="5"/>
        <v>30.9</v>
      </c>
      <c r="AH64" s="12">
        <v>71.599999999999994</v>
      </c>
      <c r="AI64" s="28">
        <f t="shared" si="6"/>
        <v>1474.96</v>
      </c>
      <c r="AJ64" s="12">
        <v>53.7</v>
      </c>
      <c r="AK64" s="28">
        <f t="shared" si="7"/>
        <v>792.05351999999993</v>
      </c>
      <c r="AL64" s="12">
        <v>51.4</v>
      </c>
      <c r="AM64" s="28">
        <f t="shared" si="8"/>
        <v>407.11550927999997</v>
      </c>
      <c r="AN64" s="12">
        <v>39.5</v>
      </c>
      <c r="AO64" s="28">
        <f t="shared" si="9"/>
        <v>312.86114039999995</v>
      </c>
      <c r="AP64" s="12">
        <v>8.6</v>
      </c>
      <c r="AQ64" s="28">
        <f t="shared" si="10"/>
        <v>68.116602719999989</v>
      </c>
      <c r="AR64" s="12">
        <v>0.2</v>
      </c>
      <c r="AS64" s="28">
        <f t="shared" si="11"/>
        <v>1.5841070400000001</v>
      </c>
      <c r="AT64" s="12">
        <v>42.7</v>
      </c>
      <c r="AU64" s="28">
        <f t="shared" si="12"/>
        <v>629.80792000000008</v>
      </c>
      <c r="AV64" s="12">
        <v>26.2</v>
      </c>
      <c r="AW64" s="28">
        <f t="shared" si="13"/>
        <v>165.00967503999999</v>
      </c>
      <c r="AX64" s="12">
        <v>31.8</v>
      </c>
      <c r="AY64" s="28">
        <f t="shared" si="14"/>
        <v>200.27891856000002</v>
      </c>
      <c r="AZ64" s="12">
        <v>12.7</v>
      </c>
      <c r="BA64" s="28">
        <f t="shared" si="15"/>
        <v>79.985605840000005</v>
      </c>
      <c r="BB64" s="12">
        <v>6.5</v>
      </c>
      <c r="BC64" s="28">
        <f t="shared" si="16"/>
        <v>40.937514800000002</v>
      </c>
      <c r="BD64" s="12">
        <v>22.4</v>
      </c>
      <c r="BE64" s="28">
        <f t="shared" si="17"/>
        <v>141.07697408000001</v>
      </c>
      <c r="BF64" s="12">
        <v>0.47</v>
      </c>
      <c r="BG64" s="28">
        <f t="shared" si="18"/>
        <v>6.9323119999999996</v>
      </c>
      <c r="BH64" s="12">
        <v>0.56999999999999995</v>
      </c>
      <c r="BI64" s="28">
        <f t="shared" si="19"/>
        <v>8.407271999999999</v>
      </c>
      <c r="BJ64" s="12">
        <v>2.6</v>
      </c>
      <c r="BK64" s="28">
        <f t="shared" si="20"/>
        <v>38.348960000000005</v>
      </c>
      <c r="BL64" s="12">
        <v>7.9</v>
      </c>
      <c r="BM64" s="12"/>
      <c r="BN64" s="28">
        <f t="shared" si="21"/>
        <v>62.572228079999995</v>
      </c>
      <c r="BO64" s="12">
        <v>66.400000000000006</v>
      </c>
      <c r="BP64" s="12">
        <v>23.6</v>
      </c>
      <c r="BQ64" s="12">
        <v>17.2</v>
      </c>
      <c r="BR64" s="12">
        <v>24.4</v>
      </c>
      <c r="BS64" s="12">
        <v>12.1</v>
      </c>
      <c r="BT64" s="12">
        <v>7.3</v>
      </c>
      <c r="BU64" s="12">
        <v>31.3</v>
      </c>
      <c r="BV64" s="28">
        <f t="shared" si="22"/>
        <v>2479127.5175999999</v>
      </c>
      <c r="BW64" s="12">
        <v>15.2</v>
      </c>
      <c r="BX64" s="12">
        <v>28.1</v>
      </c>
      <c r="BY64" s="28">
        <f t="shared" si="23"/>
        <v>696634.83244560007</v>
      </c>
      <c r="BZ64" s="12">
        <v>39.799999999999997</v>
      </c>
      <c r="CA64" s="28">
        <f t="shared" si="24"/>
        <v>986692.7520047999</v>
      </c>
      <c r="CB64" s="12">
        <v>11.3</v>
      </c>
      <c r="CC64" s="28">
        <f t="shared" si="25"/>
        <v>280141.40948880004</v>
      </c>
      <c r="CD64" s="12">
        <v>3.5</v>
      </c>
      <c r="CE64" s="28">
        <f t="shared" si="26"/>
        <v>86769.463115999999</v>
      </c>
      <c r="CF64" s="12">
        <v>2.1</v>
      </c>
      <c r="CG64" s="28">
        <f t="shared" si="27"/>
        <v>52061.677869600004</v>
      </c>
      <c r="CH64" s="12">
        <v>10.199999999999999</v>
      </c>
      <c r="CI64" s="28">
        <f t="shared" si="28"/>
        <v>80.789459039999983</v>
      </c>
      <c r="CJ64" s="12">
        <v>11</v>
      </c>
      <c r="CK64" s="12">
        <v>37.5</v>
      </c>
      <c r="CL64" s="28">
        <f t="shared" si="29"/>
        <v>302960.47139999992</v>
      </c>
      <c r="CM64" s="12">
        <v>21.9</v>
      </c>
      <c r="CN64" s="28">
        <f t="shared" si="30"/>
        <v>17.692891529759994</v>
      </c>
      <c r="CO64" s="12">
        <v>29.6</v>
      </c>
      <c r="CP64" s="28">
        <f t="shared" si="31"/>
        <v>23.91367987584</v>
      </c>
      <c r="CQ64" s="12">
        <v>15.1</v>
      </c>
      <c r="CR64" s="28">
        <f t="shared" si="34"/>
        <v>311.06</v>
      </c>
      <c r="CS64" s="12">
        <v>0</v>
      </c>
      <c r="CT64" s="28">
        <f t="shared" si="35"/>
        <v>0</v>
      </c>
      <c r="CU64" s="27">
        <v>45883</v>
      </c>
      <c r="CV64" s="11">
        <v>0</v>
      </c>
      <c r="CW64" s="11">
        <v>59</v>
      </c>
      <c r="CX64" s="11">
        <v>2</v>
      </c>
      <c r="CY64" s="11">
        <v>1</v>
      </c>
      <c r="CZ64" s="11" t="s">
        <v>93</v>
      </c>
      <c r="DA64" s="11">
        <v>1</v>
      </c>
      <c r="DB64" s="11" t="s">
        <v>94</v>
      </c>
      <c r="DC64" s="11">
        <v>0.17</v>
      </c>
      <c r="DD64" s="11">
        <v>543</v>
      </c>
      <c r="DE64" s="11">
        <v>426</v>
      </c>
      <c r="DF64" s="11">
        <v>60</v>
      </c>
      <c r="DG64" s="11">
        <v>12693</v>
      </c>
      <c r="DH64" s="11">
        <v>4.2999999999999997E-2</v>
      </c>
      <c r="DI64" s="11">
        <v>0.78</v>
      </c>
      <c r="DJ64" s="11">
        <v>455</v>
      </c>
      <c r="DK64" s="11">
        <v>11.32</v>
      </c>
      <c r="DL64" s="11" t="s">
        <v>95</v>
      </c>
      <c r="DM64" s="11">
        <v>30</v>
      </c>
      <c r="DN64" s="11">
        <v>1.5</v>
      </c>
      <c r="DO64" s="11">
        <v>0.5</v>
      </c>
      <c r="DP64" s="11">
        <v>0.5</v>
      </c>
      <c r="DQ64" s="11">
        <v>1</v>
      </c>
      <c r="DR64" s="11">
        <v>0</v>
      </c>
      <c r="DS64" s="11">
        <v>0</v>
      </c>
      <c r="DT64" s="11">
        <v>0</v>
      </c>
      <c r="DU64" s="11">
        <v>0</v>
      </c>
      <c r="DV64" s="11">
        <v>472</v>
      </c>
      <c r="DW64" s="11">
        <v>92</v>
      </c>
      <c r="DX64" s="11">
        <v>1</v>
      </c>
      <c r="DY64" s="11"/>
      <c r="DZ64" s="11"/>
      <c r="EA64" s="11"/>
      <c r="EB64" s="11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11"/>
      <c r="EV64" s="4"/>
      <c r="EW64" s="4"/>
      <c r="EX64" s="4"/>
    </row>
    <row r="65" spans="1:154" s="5" customFormat="1" ht="15.75" customHeight="1">
      <c r="A65" s="12">
        <v>74</v>
      </c>
      <c r="B65" s="12">
        <v>7042327</v>
      </c>
      <c r="C65" s="12" t="s">
        <v>190</v>
      </c>
      <c r="D65" s="12" t="s">
        <v>191</v>
      </c>
      <c r="E65" s="12">
        <v>2540336</v>
      </c>
      <c r="F65" s="12">
        <v>6333564</v>
      </c>
      <c r="G65" s="12">
        <v>5.0999999999999996</v>
      </c>
      <c r="H65" s="12">
        <v>50.6</v>
      </c>
      <c r="I65" s="12">
        <v>17.2</v>
      </c>
      <c r="J65" s="12">
        <v>213</v>
      </c>
      <c r="K65" s="12">
        <v>2.81</v>
      </c>
      <c r="L65" s="12">
        <v>57.86</v>
      </c>
      <c r="M65" s="12">
        <v>0.7</v>
      </c>
      <c r="N65" s="12">
        <v>14.29</v>
      </c>
      <c r="O65" s="12">
        <v>0.08</v>
      </c>
      <c r="P65" s="12">
        <v>1.53</v>
      </c>
      <c r="Q65" s="12">
        <v>0.03</v>
      </c>
      <c r="R65" s="12">
        <v>0.56000000000000005</v>
      </c>
      <c r="S65" s="12">
        <v>1.25</v>
      </c>
      <c r="T65" s="12">
        <v>25.76</v>
      </c>
      <c r="U65" s="12">
        <v>1183</v>
      </c>
      <c r="V65" s="12">
        <v>16.399999999999999</v>
      </c>
      <c r="W65" s="28">
        <f t="shared" si="0"/>
        <v>194.01199999999997</v>
      </c>
      <c r="X65" s="12">
        <v>57.5</v>
      </c>
      <c r="Y65" s="28">
        <f t="shared" si="1"/>
        <v>680.22500000000002</v>
      </c>
      <c r="Z65" s="12">
        <v>37.299999999999997</v>
      </c>
      <c r="AA65" s="28">
        <f t="shared" si="2"/>
        <v>441.25899999999996</v>
      </c>
      <c r="AB65" s="12">
        <v>22.6</v>
      </c>
      <c r="AC65" s="28">
        <f t="shared" si="3"/>
        <v>267.358</v>
      </c>
      <c r="AD65" s="12">
        <v>10.6</v>
      </c>
      <c r="AE65" s="29">
        <f t="shared" si="4"/>
        <v>125.398</v>
      </c>
      <c r="AF65" s="30">
        <v>4</v>
      </c>
      <c r="AG65" s="29">
        <f t="shared" si="5"/>
        <v>47.32</v>
      </c>
      <c r="AH65" s="12">
        <v>63.6</v>
      </c>
      <c r="AI65" s="28">
        <f t="shared" si="6"/>
        <v>752.38800000000003</v>
      </c>
      <c r="AJ65" s="12">
        <v>68.5</v>
      </c>
      <c r="AK65" s="28">
        <f t="shared" si="7"/>
        <v>515.38578000000007</v>
      </c>
      <c r="AL65" s="12">
        <v>42.3</v>
      </c>
      <c r="AM65" s="28">
        <f t="shared" si="8"/>
        <v>218.00818494000004</v>
      </c>
      <c r="AN65" s="12">
        <v>52.2</v>
      </c>
      <c r="AO65" s="28">
        <f t="shared" si="9"/>
        <v>269.03137716000003</v>
      </c>
      <c r="AP65" s="12">
        <v>5.3</v>
      </c>
      <c r="AQ65" s="28">
        <f t="shared" si="10"/>
        <v>27.315446340000005</v>
      </c>
      <c r="AR65" s="12">
        <v>0.1</v>
      </c>
      <c r="AS65" s="28">
        <f t="shared" si="11"/>
        <v>0.51538578000000013</v>
      </c>
      <c r="AT65" s="12">
        <v>20</v>
      </c>
      <c r="AU65" s="28">
        <f t="shared" si="12"/>
        <v>150.4776</v>
      </c>
      <c r="AV65" s="12">
        <v>15.4</v>
      </c>
      <c r="AW65" s="28">
        <f t="shared" si="13"/>
        <v>23.1735504</v>
      </c>
      <c r="AX65" s="12">
        <v>54.8</v>
      </c>
      <c r="AY65" s="28">
        <f t="shared" si="14"/>
        <v>82.461724799999999</v>
      </c>
      <c r="AZ65" s="12">
        <v>18.3</v>
      </c>
      <c r="BA65" s="28">
        <f t="shared" si="15"/>
        <v>27.5374008</v>
      </c>
      <c r="BB65" s="12">
        <v>3.5</v>
      </c>
      <c r="BC65" s="28">
        <f t="shared" si="16"/>
        <v>5.2667159999999997</v>
      </c>
      <c r="BD65" s="12">
        <v>8</v>
      </c>
      <c r="BE65" s="28">
        <f t="shared" si="17"/>
        <v>12.038207999999999</v>
      </c>
      <c r="BF65" s="12">
        <v>0.28999999999999998</v>
      </c>
      <c r="BG65" s="28">
        <f t="shared" si="18"/>
        <v>2.1819252000000002</v>
      </c>
      <c r="BH65" s="12">
        <v>0.79</v>
      </c>
      <c r="BI65" s="28">
        <f t="shared" si="19"/>
        <v>5.9438652000000003</v>
      </c>
      <c r="BJ65" s="12">
        <v>10.4</v>
      </c>
      <c r="BK65" s="28">
        <f t="shared" si="20"/>
        <v>78.248352000000011</v>
      </c>
      <c r="BL65" s="12">
        <v>10.9</v>
      </c>
      <c r="BM65" s="12"/>
      <c r="BN65" s="28">
        <f t="shared" si="21"/>
        <v>56.177050020000003</v>
      </c>
      <c r="BO65" s="12">
        <v>70.5</v>
      </c>
      <c r="BP65" s="12">
        <v>14.1</v>
      </c>
      <c r="BQ65" s="12">
        <v>9.9</v>
      </c>
      <c r="BR65" s="12">
        <v>28.9</v>
      </c>
      <c r="BS65" s="12">
        <v>25.4</v>
      </c>
      <c r="BT65" s="12">
        <v>7.7</v>
      </c>
      <c r="BU65" s="12">
        <v>38.1</v>
      </c>
      <c r="BV65" s="28">
        <f t="shared" si="22"/>
        <v>1963619.8218000005</v>
      </c>
      <c r="BW65" s="12">
        <v>24</v>
      </c>
      <c r="BX65" s="12">
        <v>24.1</v>
      </c>
      <c r="BY65" s="28">
        <f t="shared" si="23"/>
        <v>473232.37705380016</v>
      </c>
      <c r="BZ65" s="12">
        <v>6.7</v>
      </c>
      <c r="CA65" s="28">
        <f t="shared" si="24"/>
        <v>131562.52806060005</v>
      </c>
      <c r="CB65" s="12">
        <v>11.2</v>
      </c>
      <c r="CC65" s="28">
        <f t="shared" si="25"/>
        <v>219925.42004160007</v>
      </c>
      <c r="CD65" s="12">
        <v>23.4</v>
      </c>
      <c r="CE65" s="28">
        <f t="shared" si="26"/>
        <v>459487.03830120014</v>
      </c>
      <c r="CF65" s="12">
        <v>10.6</v>
      </c>
      <c r="CG65" s="28">
        <f t="shared" si="27"/>
        <v>208143.70111080006</v>
      </c>
      <c r="CH65" s="12">
        <v>8.9</v>
      </c>
      <c r="CI65" s="28">
        <f t="shared" si="28"/>
        <v>45.869334420000001</v>
      </c>
      <c r="CJ65" s="12">
        <v>12</v>
      </c>
      <c r="CK65" s="12">
        <v>31.8</v>
      </c>
      <c r="CL65" s="28">
        <f t="shared" si="29"/>
        <v>145864.48345559998</v>
      </c>
      <c r="CM65" s="12">
        <v>14.6</v>
      </c>
      <c r="CN65" s="28">
        <f t="shared" si="30"/>
        <v>6.6969228253200006</v>
      </c>
      <c r="CO65" s="12">
        <v>41.6</v>
      </c>
      <c r="CP65" s="28">
        <f t="shared" si="31"/>
        <v>19.081643118720002</v>
      </c>
      <c r="CQ65" s="12">
        <v>15.2</v>
      </c>
      <c r="CR65" s="28">
        <f t="shared" si="34"/>
        <v>179.81599999999997</v>
      </c>
      <c r="CS65" s="12">
        <v>0.35</v>
      </c>
      <c r="CT65" s="28">
        <f t="shared" si="35"/>
        <v>4.1404999999999994</v>
      </c>
      <c r="CU65" s="27">
        <v>45995</v>
      </c>
      <c r="CV65" s="11">
        <v>0</v>
      </c>
      <c r="CW65" s="11">
        <v>73</v>
      </c>
      <c r="CX65" s="11">
        <v>1</v>
      </c>
      <c r="CY65" s="11">
        <v>1</v>
      </c>
      <c r="CZ65" s="11" t="s">
        <v>93</v>
      </c>
      <c r="DA65" s="11">
        <v>1</v>
      </c>
      <c r="DB65" s="11" t="s">
        <v>150</v>
      </c>
      <c r="DC65" s="11">
        <v>0.52</v>
      </c>
      <c r="DD65" s="11">
        <v>926</v>
      </c>
      <c r="DE65" s="11">
        <v>1128</v>
      </c>
      <c r="DF65" s="11">
        <v>152</v>
      </c>
      <c r="DG65" s="11">
        <v>18134</v>
      </c>
      <c r="DH65" s="11">
        <v>5.0999999999999997E-2</v>
      </c>
      <c r="DI65" s="11">
        <v>1.22</v>
      </c>
      <c r="DJ65" s="11">
        <v>1431</v>
      </c>
      <c r="DK65" s="11">
        <v>26.11</v>
      </c>
      <c r="DL65" s="11" t="s">
        <v>95</v>
      </c>
      <c r="DM65" s="11">
        <v>29</v>
      </c>
      <c r="DN65" s="11"/>
      <c r="DO65" s="11">
        <v>0.5</v>
      </c>
      <c r="DP65" s="11">
        <v>0.5</v>
      </c>
      <c r="DQ65" s="11">
        <v>0</v>
      </c>
      <c r="DR65" s="11">
        <v>0</v>
      </c>
      <c r="DS65" s="11">
        <v>0</v>
      </c>
      <c r="DT65" s="11">
        <v>0</v>
      </c>
      <c r="DU65" s="11">
        <v>0</v>
      </c>
      <c r="DV65" s="11">
        <v>454</v>
      </c>
      <c r="DW65" s="11">
        <v>86</v>
      </c>
      <c r="DX65" s="11">
        <v>0</v>
      </c>
      <c r="DY65" s="11"/>
      <c r="DZ65" s="11"/>
      <c r="EA65" s="11"/>
      <c r="EB65" s="11">
        <v>1</v>
      </c>
      <c r="EC65" s="6">
        <v>1</v>
      </c>
      <c r="ED65" s="6">
        <v>1</v>
      </c>
      <c r="EE65" s="6">
        <v>0</v>
      </c>
      <c r="EF65" s="6">
        <v>0</v>
      </c>
      <c r="EG65" s="6">
        <v>0</v>
      </c>
      <c r="EH65" s="6">
        <v>1</v>
      </c>
      <c r="EI65" s="6">
        <v>0</v>
      </c>
      <c r="EJ65" s="6">
        <v>0</v>
      </c>
      <c r="EK65" s="6">
        <v>3</v>
      </c>
      <c r="EL65" s="6"/>
      <c r="EM65" s="6"/>
      <c r="EN65" s="6">
        <v>3</v>
      </c>
      <c r="EO65" s="6">
        <v>0</v>
      </c>
      <c r="EP65" s="6">
        <v>1</v>
      </c>
      <c r="EQ65" s="6">
        <v>1</v>
      </c>
      <c r="ER65" s="6">
        <v>0</v>
      </c>
      <c r="ES65" s="6">
        <v>0</v>
      </c>
      <c r="ET65" s="6">
        <v>0</v>
      </c>
      <c r="EU65" s="11"/>
      <c r="EV65" s="4"/>
      <c r="EW65" s="4"/>
      <c r="EX65" s="4"/>
    </row>
    <row r="66" spans="1:154" s="5" customFormat="1" ht="15.75" customHeight="1">
      <c r="A66" s="12">
        <v>15</v>
      </c>
      <c r="B66" s="12">
        <v>7039493</v>
      </c>
      <c r="C66" s="12" t="s">
        <v>192</v>
      </c>
      <c r="D66" s="12" t="s">
        <v>193</v>
      </c>
      <c r="E66" s="12">
        <v>56432</v>
      </c>
      <c r="F66" s="12">
        <v>6344145</v>
      </c>
      <c r="G66" s="12">
        <v>5.21</v>
      </c>
      <c r="H66" s="12">
        <v>48.6</v>
      </c>
      <c r="I66" s="12">
        <v>16.100000000000001</v>
      </c>
      <c r="J66" s="12">
        <v>188</v>
      </c>
      <c r="K66" s="12">
        <v>3.65</v>
      </c>
      <c r="L66" s="12">
        <v>56.37</v>
      </c>
      <c r="M66" s="12">
        <v>0.63</v>
      </c>
      <c r="N66" s="12">
        <v>9.75</v>
      </c>
      <c r="O66" s="12">
        <v>0.19</v>
      </c>
      <c r="P66" s="12">
        <v>2.92</v>
      </c>
      <c r="Q66" s="12">
        <v>0.05</v>
      </c>
      <c r="R66" s="12">
        <v>0.77</v>
      </c>
      <c r="S66" s="12">
        <v>1.96</v>
      </c>
      <c r="T66" s="12">
        <v>30.19</v>
      </c>
      <c r="U66" s="12">
        <v>2732</v>
      </c>
      <c r="V66" s="12">
        <v>4.9000000000000004</v>
      </c>
      <c r="W66" s="28">
        <f t="shared" ref="W66:W80" si="36">(V66*U66)/100</f>
        <v>133.86800000000002</v>
      </c>
      <c r="X66" s="6"/>
      <c r="Y66" s="6"/>
      <c r="Z66" s="6"/>
      <c r="AA66" s="6"/>
      <c r="AB66" s="12"/>
      <c r="AC66" s="28"/>
      <c r="AD66" s="12"/>
      <c r="AE66" s="29"/>
      <c r="AF66" s="30"/>
      <c r="AG66" s="29"/>
      <c r="AH66" s="12">
        <v>51.9</v>
      </c>
      <c r="AI66" s="28">
        <f t="shared" ref="AI66:AI80" si="37">(AH66*U66)/100</f>
        <v>1417.9079999999999</v>
      </c>
      <c r="AJ66" s="12">
        <v>59.7</v>
      </c>
      <c r="AK66" s="28">
        <f t="shared" ref="AK66:AK80" si="38">(AJ66*AI66)/100</f>
        <v>846.49107600000002</v>
      </c>
      <c r="AL66" s="12"/>
      <c r="AM66" s="28"/>
      <c r="AN66" s="12"/>
      <c r="AO66" s="28"/>
      <c r="AP66" s="12"/>
      <c r="AQ66" s="28"/>
      <c r="AR66" s="12"/>
      <c r="AS66" s="28"/>
      <c r="AT66" s="12">
        <v>32.5</v>
      </c>
      <c r="AU66" s="28">
        <f t="shared" ref="AU66:AU80" si="39">(AT66*AI66)/100</f>
        <v>460.82009999999997</v>
      </c>
      <c r="AV66" s="12"/>
      <c r="AW66" s="28"/>
      <c r="AX66" s="12"/>
      <c r="AY66" s="28"/>
      <c r="AZ66" s="12"/>
      <c r="BA66" s="28"/>
      <c r="BB66" s="12"/>
      <c r="BC66" s="28"/>
      <c r="BD66" s="12"/>
      <c r="BE66" s="28"/>
      <c r="BF66" s="12">
        <v>1.1000000000000001</v>
      </c>
      <c r="BG66" s="28">
        <f t="shared" ref="BG66:BG80" si="40">(BF66*AI66)/100</f>
        <v>15.596988000000001</v>
      </c>
      <c r="BH66" s="12">
        <v>0.78</v>
      </c>
      <c r="BI66" s="28">
        <f t="shared" ref="BI66:BI80" si="41">(BH66*AI66)/100</f>
        <v>11.0596824</v>
      </c>
      <c r="BJ66" s="12">
        <v>5.9</v>
      </c>
      <c r="BK66" s="28">
        <f t="shared" ref="BK66:BK80" si="42">(BJ66*AI66)/100</f>
        <v>83.656571999999997</v>
      </c>
      <c r="BL66" s="12"/>
      <c r="BM66" s="12"/>
      <c r="BN66" s="28"/>
      <c r="BO66" s="12"/>
      <c r="BP66" s="12"/>
      <c r="BQ66" s="12"/>
      <c r="BR66" s="12"/>
      <c r="BS66" s="12"/>
      <c r="BT66" s="12"/>
      <c r="BU66" s="12"/>
      <c r="BV66" s="28"/>
      <c r="BW66" s="12"/>
      <c r="BX66" s="12"/>
      <c r="BY66" s="28"/>
      <c r="BZ66" s="12"/>
      <c r="CA66" s="28"/>
      <c r="CB66" s="12"/>
      <c r="CC66" s="28"/>
      <c r="CD66" s="12"/>
      <c r="CE66" s="28"/>
      <c r="CF66" s="12"/>
      <c r="CG66" s="28"/>
      <c r="CH66" s="12"/>
      <c r="CI66" s="12"/>
      <c r="CJ66" s="12"/>
      <c r="CK66" s="12"/>
      <c r="CL66" s="12"/>
      <c r="CM66" s="12"/>
      <c r="CN66" s="12"/>
      <c r="CO66" s="12"/>
      <c r="CP66" s="12"/>
      <c r="CQ66" s="12">
        <v>22.9</v>
      </c>
      <c r="CR66" s="28">
        <f t="shared" si="34"/>
        <v>625.62799999999993</v>
      </c>
      <c r="CS66" s="12">
        <v>13.2</v>
      </c>
      <c r="CT66" s="28">
        <f t="shared" si="35"/>
        <v>360.62400000000002</v>
      </c>
      <c r="CU66" s="27">
        <v>45841</v>
      </c>
      <c r="CV66" s="11">
        <v>0</v>
      </c>
      <c r="CW66" s="11">
        <v>62</v>
      </c>
      <c r="CX66" s="11">
        <v>0</v>
      </c>
      <c r="CY66" s="11">
        <v>0</v>
      </c>
      <c r="CZ66" s="11" t="s">
        <v>263</v>
      </c>
      <c r="DA66" s="11">
        <v>0</v>
      </c>
      <c r="DB66" s="11" t="s">
        <v>314</v>
      </c>
      <c r="DC66" s="11">
        <v>0.23</v>
      </c>
      <c r="DD66" s="11">
        <v>1492</v>
      </c>
      <c r="DE66" s="11">
        <v>271</v>
      </c>
      <c r="DF66" s="11">
        <v>36</v>
      </c>
      <c r="DG66" s="11">
        <v>13389</v>
      </c>
      <c r="DH66" s="11">
        <v>0.111</v>
      </c>
      <c r="DI66" s="11">
        <v>0.18</v>
      </c>
      <c r="DJ66" s="11">
        <v>526</v>
      </c>
      <c r="DK66" s="11">
        <v>16.649999999999999</v>
      </c>
      <c r="DL66" s="11" t="s">
        <v>95</v>
      </c>
      <c r="DM66" s="11">
        <v>29</v>
      </c>
      <c r="DN66" s="11">
        <v>0</v>
      </c>
      <c r="DO66" s="11">
        <v>0</v>
      </c>
      <c r="DP66" s="11">
        <v>0</v>
      </c>
      <c r="DQ66" s="11">
        <v>0</v>
      </c>
      <c r="DR66" s="11">
        <v>0</v>
      </c>
      <c r="DS66" s="11">
        <v>0</v>
      </c>
      <c r="DT66" s="11">
        <v>0</v>
      </c>
      <c r="DU66" s="11">
        <v>0</v>
      </c>
      <c r="DV66" s="11">
        <v>486</v>
      </c>
      <c r="DW66" s="11">
        <v>95</v>
      </c>
      <c r="DX66" s="11">
        <v>0</v>
      </c>
      <c r="DY66" s="11"/>
      <c r="DZ66" s="11"/>
      <c r="EA66" s="11"/>
      <c r="EB66" s="11">
        <v>1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1</v>
      </c>
      <c r="EK66" s="6">
        <v>3</v>
      </c>
      <c r="EL66" s="6">
        <v>1</v>
      </c>
      <c r="EM66" s="6">
        <v>1</v>
      </c>
      <c r="EN66" s="6">
        <v>3</v>
      </c>
      <c r="EO66" s="6">
        <v>1</v>
      </c>
      <c r="EP66" s="6">
        <v>1</v>
      </c>
      <c r="EQ66" s="6">
        <v>1</v>
      </c>
      <c r="ER66" s="6">
        <v>0</v>
      </c>
      <c r="ES66" s="6">
        <v>0</v>
      </c>
      <c r="ET66" s="6">
        <v>0</v>
      </c>
      <c r="EU66" s="9" t="s">
        <v>315</v>
      </c>
      <c r="EV66" s="4"/>
      <c r="EW66" s="4"/>
      <c r="EX66" s="4"/>
    </row>
    <row r="67" spans="1:154" s="5" customFormat="1" ht="15.75" customHeight="1">
      <c r="A67" s="12">
        <v>42</v>
      </c>
      <c r="B67" s="12">
        <v>7040743</v>
      </c>
      <c r="C67" s="12" t="s">
        <v>194</v>
      </c>
      <c r="D67" s="12" t="s">
        <v>195</v>
      </c>
      <c r="E67" s="12">
        <v>3361996</v>
      </c>
      <c r="F67" s="12">
        <v>6403814</v>
      </c>
      <c r="G67" s="12">
        <v>4.08</v>
      </c>
      <c r="H67" s="12">
        <v>38.700000000000003</v>
      </c>
      <c r="I67" s="12">
        <v>12.9</v>
      </c>
      <c r="J67" s="12">
        <v>231</v>
      </c>
      <c r="K67" s="12">
        <v>3.39</v>
      </c>
      <c r="L67" s="12">
        <v>56.99</v>
      </c>
      <c r="M67" s="12">
        <v>0.51</v>
      </c>
      <c r="N67" s="12">
        <v>8.5299999999999994</v>
      </c>
      <c r="O67" s="12">
        <v>0.26</v>
      </c>
      <c r="P67" s="12">
        <v>4.3099999999999996</v>
      </c>
      <c r="Q67" s="12">
        <v>0.03</v>
      </c>
      <c r="R67" s="12">
        <v>0.44</v>
      </c>
      <c r="S67" s="12">
        <v>1.77</v>
      </c>
      <c r="T67" s="12">
        <v>29.73</v>
      </c>
      <c r="U67" s="12">
        <v>1987</v>
      </c>
      <c r="V67" s="12">
        <v>8.6999999999999993</v>
      </c>
      <c r="W67" s="28">
        <f t="shared" si="36"/>
        <v>172.86899999999997</v>
      </c>
      <c r="X67" s="12">
        <v>53.8</v>
      </c>
      <c r="Y67" s="28">
        <f t="shared" ref="Y67:Y80" si="43">(X67*U67)/100</f>
        <v>1069.0059999999999</v>
      </c>
      <c r="Z67" s="12">
        <v>39.299999999999997</v>
      </c>
      <c r="AA67" s="28">
        <f t="shared" ref="AA67:AA80" si="44">(Z67*U67)/100</f>
        <v>780.89099999999996</v>
      </c>
      <c r="AB67" s="12">
        <v>19.100000000000001</v>
      </c>
      <c r="AC67" s="28">
        <f t="shared" ref="AC67:AC80" si="45">(AB67*U67)/100</f>
        <v>379.51700000000005</v>
      </c>
      <c r="AD67" s="12">
        <v>19.2</v>
      </c>
      <c r="AE67" s="29">
        <f t="shared" ref="AE67:AE80" si="46">(AD67*U67)/100</f>
        <v>381.50400000000002</v>
      </c>
      <c r="AF67" s="30">
        <v>0.99</v>
      </c>
      <c r="AG67" s="29">
        <f t="shared" ref="AG67:AG80" si="47">(AF67*U67)/100</f>
        <v>19.671299999999999</v>
      </c>
      <c r="AH67" s="12">
        <v>74.8</v>
      </c>
      <c r="AI67" s="28">
        <f t="shared" si="37"/>
        <v>1486.2760000000001</v>
      </c>
      <c r="AJ67" s="12">
        <v>68.2</v>
      </c>
      <c r="AK67" s="28">
        <f t="shared" si="38"/>
        <v>1013.6402320000001</v>
      </c>
      <c r="AL67" s="12">
        <v>57.9</v>
      </c>
      <c r="AM67" s="28">
        <f t="shared" ref="AM67:AM80" si="48">(AL67*AK67)/100</f>
        <v>586.89769432799994</v>
      </c>
      <c r="AN67" s="12">
        <v>34.5</v>
      </c>
      <c r="AO67" s="28">
        <f t="shared" ref="AO67:AO80" si="49">(AN67*AK67)/100</f>
        <v>349.70588004000007</v>
      </c>
      <c r="AP67" s="12">
        <v>6.7</v>
      </c>
      <c r="AQ67" s="28">
        <f t="shared" ref="AQ67:AQ80" si="50">(AP67*AK67)/100</f>
        <v>67.913895544000013</v>
      </c>
      <c r="AR67" s="12">
        <v>0.56999999999999995</v>
      </c>
      <c r="AS67" s="28">
        <f t="shared" ref="AS67:AS80" si="51">(AR67*AK67)/100</f>
        <v>5.7777493224000001</v>
      </c>
      <c r="AT67" s="12">
        <v>28.5</v>
      </c>
      <c r="AU67" s="28">
        <f t="shared" si="39"/>
        <v>423.58866</v>
      </c>
      <c r="AV67" s="12">
        <v>23.5</v>
      </c>
      <c r="AW67" s="28">
        <f t="shared" ref="AW67:AW80" si="52">(AV67*AU67)/100</f>
        <v>99.543335100000007</v>
      </c>
      <c r="AX67" s="12">
        <v>44.8</v>
      </c>
      <c r="AY67" s="28">
        <f t="shared" ref="AY67:AY80" si="53">(AX67*AU67)/100</f>
        <v>189.76771967999997</v>
      </c>
      <c r="AZ67" s="12">
        <v>9.8000000000000007</v>
      </c>
      <c r="BA67" s="28">
        <f t="shared" ref="BA67:BA80" si="54">(AZ67*AU67)/100</f>
        <v>41.511688680000006</v>
      </c>
      <c r="BB67" s="12">
        <v>1.8</v>
      </c>
      <c r="BC67" s="28">
        <f t="shared" ref="BC67:BC80" si="55">(BB67*AU67)/100</f>
        <v>7.6245958800000002</v>
      </c>
      <c r="BD67" s="12">
        <v>20</v>
      </c>
      <c r="BE67" s="28">
        <f t="shared" ref="BE67:BE80" si="56">(BD67*AU67)/100</f>
        <v>84.717731999999998</v>
      </c>
      <c r="BF67" s="12">
        <v>0.11</v>
      </c>
      <c r="BG67" s="28">
        <f t="shared" si="40"/>
        <v>1.6349036000000001</v>
      </c>
      <c r="BH67" s="12">
        <v>0.84</v>
      </c>
      <c r="BI67" s="28">
        <f t="shared" si="41"/>
        <v>12.484718399999998</v>
      </c>
      <c r="BJ67" s="12">
        <v>2.2999999999999998</v>
      </c>
      <c r="BK67" s="28">
        <f t="shared" si="42"/>
        <v>34.184348</v>
      </c>
      <c r="BL67" s="12">
        <v>6.2</v>
      </c>
      <c r="BM67" s="12"/>
      <c r="BN67" s="28">
        <f t="shared" ref="BN67:BN79" si="57">(BL67*AK67)/100</f>
        <v>62.845694384000005</v>
      </c>
      <c r="BO67" s="12">
        <v>64</v>
      </c>
      <c r="BP67" s="12">
        <v>22.2</v>
      </c>
      <c r="BQ67" s="12">
        <v>22.5</v>
      </c>
      <c r="BR67" s="12">
        <v>19.7</v>
      </c>
      <c r="BS67" s="12">
        <v>10.199999999999999</v>
      </c>
      <c r="BT67" s="12">
        <v>7.7</v>
      </c>
      <c r="BU67" s="12">
        <v>27.3</v>
      </c>
      <c r="BV67" s="28">
        <f t="shared" ref="BV67:BV79" si="58">(BU67*AK67)*100</f>
        <v>2767237.83336</v>
      </c>
      <c r="BW67" s="12">
        <v>34.700000000000003</v>
      </c>
      <c r="BX67" s="12">
        <v>13.4</v>
      </c>
      <c r="BY67" s="28">
        <f t="shared" ref="BY67:BY79" si="59">(BX67*BV67)/100</f>
        <v>370809.86967023998</v>
      </c>
      <c r="BZ67" s="12">
        <v>25.7</v>
      </c>
      <c r="CA67" s="28">
        <f t="shared" ref="CA67:CA79" si="60">(BZ67*BV67)/100</f>
        <v>711180.12317351997</v>
      </c>
      <c r="CB67" s="12">
        <v>16.3</v>
      </c>
      <c r="CC67" s="28">
        <f t="shared" ref="CC67:CC79" si="61">(CB67*BV67)/100</f>
        <v>451059.76683768001</v>
      </c>
      <c r="CD67" s="12">
        <v>6.4</v>
      </c>
      <c r="CE67" s="28">
        <f t="shared" ref="CE67:CE79" si="62">(CD67*BV67)/100</f>
        <v>177103.22133504</v>
      </c>
      <c r="CF67" s="12">
        <v>3.5</v>
      </c>
      <c r="CG67" s="28">
        <f t="shared" ref="CG67:CG79" si="63">(CF67*BV67)/100</f>
        <v>96853.324167599989</v>
      </c>
      <c r="CH67" s="12">
        <v>8</v>
      </c>
      <c r="CI67" s="28">
        <f t="shared" ref="CI67:CI79" si="64">(CH67*AK67)/100</f>
        <v>81.091218560000002</v>
      </c>
      <c r="CJ67" s="12">
        <v>15</v>
      </c>
      <c r="CK67" s="12">
        <v>35.5</v>
      </c>
      <c r="CL67" s="28">
        <f t="shared" ref="CL67:CL79" si="65">(CK67*CI67)*100</f>
        <v>287873.82588800002</v>
      </c>
      <c r="CM67" s="12">
        <v>13.3</v>
      </c>
      <c r="CN67" s="28">
        <f t="shared" ref="CN67:CN79" si="66">(CM67*CI67)/100</f>
        <v>10.785132068479999</v>
      </c>
      <c r="CO67" s="12">
        <v>36.200000000000003</v>
      </c>
      <c r="CP67" s="28">
        <f t="shared" ref="CP67:CP79" si="67">(CO67*CI67)/100</f>
        <v>29.35502111872</v>
      </c>
      <c r="CQ67" s="12">
        <v>13.4</v>
      </c>
      <c r="CR67" s="28">
        <f t="shared" si="34"/>
        <v>266.25799999999998</v>
      </c>
      <c r="CS67" s="12">
        <v>0.31</v>
      </c>
      <c r="CT67" s="28">
        <f t="shared" si="35"/>
        <v>6.1597</v>
      </c>
      <c r="CU67" s="27">
        <v>45911</v>
      </c>
      <c r="CV67" s="11">
        <v>1</v>
      </c>
      <c r="CW67" s="11">
        <v>64</v>
      </c>
      <c r="CX67" s="11">
        <v>1</v>
      </c>
      <c r="CY67" s="11">
        <v>1</v>
      </c>
      <c r="CZ67" s="11" t="s">
        <v>93</v>
      </c>
      <c r="DA67" s="11">
        <v>1</v>
      </c>
      <c r="DB67" s="11" t="s">
        <v>198</v>
      </c>
      <c r="DC67" s="11">
        <v>0.48</v>
      </c>
      <c r="DD67" s="11">
        <v>762</v>
      </c>
      <c r="DE67" s="11">
        <v>685</v>
      </c>
      <c r="DF67" s="11">
        <v>103</v>
      </c>
      <c r="DG67" s="11">
        <v>14464</v>
      </c>
      <c r="DH67" s="11">
        <v>5.2999999999999999E-2</v>
      </c>
      <c r="DI67" s="11">
        <v>0.9</v>
      </c>
      <c r="DJ67" s="11">
        <v>995</v>
      </c>
      <c r="DK67" s="11">
        <v>17.579999999999998</v>
      </c>
      <c r="DL67" s="11" t="s">
        <v>96</v>
      </c>
      <c r="DM67" s="11">
        <v>27</v>
      </c>
      <c r="DN67" s="11">
        <v>0.5</v>
      </c>
      <c r="DO67" s="11">
        <v>0.5</v>
      </c>
      <c r="DP67" s="11">
        <v>0.5</v>
      </c>
      <c r="DQ67" s="11">
        <v>0</v>
      </c>
      <c r="DR67" s="11">
        <v>0</v>
      </c>
      <c r="DS67" s="11">
        <v>0</v>
      </c>
      <c r="DT67" s="11">
        <v>0</v>
      </c>
      <c r="DU67" s="11">
        <v>0</v>
      </c>
      <c r="DV67" s="11">
        <v>454</v>
      </c>
      <c r="DW67" s="11">
        <v>86</v>
      </c>
      <c r="DX67" s="11"/>
      <c r="DY67" s="11"/>
      <c r="DZ67" s="11"/>
      <c r="EA67" s="11"/>
      <c r="EB67" s="11">
        <v>0</v>
      </c>
      <c r="EC67" s="6">
        <v>0</v>
      </c>
      <c r="ED67" s="6">
        <v>1</v>
      </c>
      <c r="EE67" s="6">
        <v>0</v>
      </c>
      <c r="EF67" s="6">
        <v>0</v>
      </c>
      <c r="EG67" s="6">
        <v>0</v>
      </c>
      <c r="EH67" s="6">
        <v>1</v>
      </c>
      <c r="EI67" s="6">
        <v>0</v>
      </c>
      <c r="EJ67" s="6">
        <v>0</v>
      </c>
      <c r="EK67" s="6">
        <v>3</v>
      </c>
      <c r="EL67" s="6">
        <v>1</v>
      </c>
      <c r="EM67" s="6">
        <v>1</v>
      </c>
      <c r="EN67" s="6">
        <v>3</v>
      </c>
      <c r="EO67" s="6">
        <v>0</v>
      </c>
      <c r="EP67" s="6">
        <v>1</v>
      </c>
      <c r="EQ67" s="6">
        <v>0</v>
      </c>
      <c r="ER67" s="6">
        <v>0</v>
      </c>
      <c r="ES67" s="6">
        <v>0</v>
      </c>
      <c r="ET67" s="6">
        <v>1</v>
      </c>
      <c r="EU67" s="11"/>
      <c r="EV67" s="4"/>
      <c r="EW67" s="4"/>
      <c r="EX67" s="4"/>
    </row>
    <row r="68" spans="1:154" s="5" customFormat="1" ht="15.75" customHeight="1">
      <c r="A68" s="12">
        <v>72</v>
      </c>
      <c r="B68" s="12">
        <v>7042219</v>
      </c>
      <c r="C68" s="12" t="s">
        <v>179</v>
      </c>
      <c r="D68" s="12" t="s">
        <v>232</v>
      </c>
      <c r="E68" s="12">
        <v>2929924</v>
      </c>
      <c r="F68" s="12">
        <v>6526037</v>
      </c>
      <c r="G68" s="12">
        <v>4.2699999999999996</v>
      </c>
      <c r="H68" s="12">
        <v>40</v>
      </c>
      <c r="I68" s="12">
        <v>13.3</v>
      </c>
      <c r="J68" s="12">
        <v>218</v>
      </c>
      <c r="K68" s="12">
        <v>6.06</v>
      </c>
      <c r="L68" s="12">
        <v>72.94</v>
      </c>
      <c r="M68" s="12">
        <v>0.43</v>
      </c>
      <c r="N68" s="12">
        <v>5.14</v>
      </c>
      <c r="O68" s="12">
        <v>0.04</v>
      </c>
      <c r="P68" s="12">
        <v>0.49</v>
      </c>
      <c r="Q68" s="12">
        <v>0.02</v>
      </c>
      <c r="R68" s="12">
        <v>0.25</v>
      </c>
      <c r="S68" s="12">
        <v>1.76</v>
      </c>
      <c r="T68" s="12">
        <v>21.18</v>
      </c>
      <c r="U68" s="12">
        <v>2015</v>
      </c>
      <c r="V68" s="12">
        <v>7.7</v>
      </c>
      <c r="W68" s="28">
        <f t="shared" si="36"/>
        <v>155.155</v>
      </c>
      <c r="X68" s="12">
        <v>44.6</v>
      </c>
      <c r="Y68" s="28">
        <f t="shared" si="43"/>
        <v>898.69</v>
      </c>
      <c r="Z68" s="12">
        <v>49.5</v>
      </c>
      <c r="AA68" s="28">
        <f t="shared" si="44"/>
        <v>997.42499999999995</v>
      </c>
      <c r="AB68" s="12">
        <v>28.3</v>
      </c>
      <c r="AC68" s="28">
        <f t="shared" si="45"/>
        <v>570.245</v>
      </c>
      <c r="AD68" s="12">
        <v>20.7</v>
      </c>
      <c r="AE68" s="29">
        <f t="shared" si="46"/>
        <v>417.10500000000002</v>
      </c>
      <c r="AF68" s="30">
        <v>0.56000000000000005</v>
      </c>
      <c r="AG68" s="29">
        <f t="shared" si="47"/>
        <v>11.284000000000001</v>
      </c>
      <c r="AH68" s="12">
        <v>81.3</v>
      </c>
      <c r="AI68" s="28">
        <f t="shared" si="37"/>
        <v>1638.1949999999999</v>
      </c>
      <c r="AJ68" s="12">
        <v>40.6</v>
      </c>
      <c r="AK68" s="28">
        <f t="shared" si="38"/>
        <v>665.10717</v>
      </c>
      <c r="AL68" s="12">
        <v>30.9</v>
      </c>
      <c r="AM68" s="28">
        <f t="shared" si="48"/>
        <v>205.51811552999999</v>
      </c>
      <c r="AN68" s="12">
        <v>55.2</v>
      </c>
      <c r="AO68" s="28">
        <f t="shared" si="49"/>
        <v>367.13915784000005</v>
      </c>
      <c r="AP68" s="12">
        <v>10.5</v>
      </c>
      <c r="AQ68" s="28">
        <f t="shared" si="50"/>
        <v>69.836252849999994</v>
      </c>
      <c r="AR68" s="12">
        <v>3.4</v>
      </c>
      <c r="AS68" s="28">
        <f t="shared" si="51"/>
        <v>22.613643779999997</v>
      </c>
      <c r="AT68" s="12">
        <v>51.1</v>
      </c>
      <c r="AU68" s="28">
        <f t="shared" si="39"/>
        <v>837.11764500000004</v>
      </c>
      <c r="AV68" s="12">
        <v>3</v>
      </c>
      <c r="AW68" s="28">
        <f t="shared" si="52"/>
        <v>25.11352935</v>
      </c>
      <c r="AX68" s="12">
        <v>7.4</v>
      </c>
      <c r="AY68" s="28">
        <f t="shared" si="53"/>
        <v>61.946705730000005</v>
      </c>
      <c r="AZ68" s="12">
        <v>0.22</v>
      </c>
      <c r="BA68" s="28">
        <f t="shared" si="54"/>
        <v>1.8416588190000001</v>
      </c>
      <c r="BB68" s="12">
        <v>2.2999999999999998</v>
      </c>
      <c r="BC68" s="28">
        <f t="shared" si="55"/>
        <v>19.253705834999998</v>
      </c>
      <c r="BD68" s="12">
        <v>87.1</v>
      </c>
      <c r="BE68" s="28">
        <f t="shared" si="56"/>
        <v>729.12946879499998</v>
      </c>
      <c r="BF68" s="12">
        <v>6.6000000000000003E-2</v>
      </c>
      <c r="BG68" s="28">
        <f t="shared" si="40"/>
        <v>1.0812086999999999</v>
      </c>
      <c r="BH68" s="12">
        <v>0.26</v>
      </c>
      <c r="BI68" s="28">
        <f t="shared" si="41"/>
        <v>4.2593069999999997</v>
      </c>
      <c r="BJ68" s="12">
        <v>8</v>
      </c>
      <c r="BK68" s="28">
        <f t="shared" si="42"/>
        <v>131.0556</v>
      </c>
      <c r="BL68" s="12">
        <v>9.4</v>
      </c>
      <c r="BM68" s="12"/>
      <c r="BN68" s="28">
        <f t="shared" si="57"/>
        <v>62.520073980000006</v>
      </c>
      <c r="BO68" s="12">
        <v>50.7</v>
      </c>
      <c r="BP68" s="12">
        <v>30.9</v>
      </c>
      <c r="BQ68" s="12">
        <v>13.2</v>
      </c>
      <c r="BR68" s="12">
        <v>25</v>
      </c>
      <c r="BS68" s="12">
        <v>11.6</v>
      </c>
      <c r="BT68" s="12">
        <v>9.1999999999999993</v>
      </c>
      <c r="BU68" s="12">
        <v>40.799999999999997</v>
      </c>
      <c r="BV68" s="28">
        <f t="shared" si="58"/>
        <v>2713637.2535999999</v>
      </c>
      <c r="BW68" s="12">
        <v>29.1</v>
      </c>
      <c r="BX68" s="12">
        <v>20</v>
      </c>
      <c r="BY68" s="28">
        <f t="shared" si="59"/>
        <v>542727.45071999996</v>
      </c>
      <c r="BZ68" s="12">
        <v>16.2</v>
      </c>
      <c r="CA68" s="28">
        <f t="shared" si="60"/>
        <v>439609.23508319998</v>
      </c>
      <c r="CB68" s="12">
        <v>21</v>
      </c>
      <c r="CC68" s="28">
        <f t="shared" si="61"/>
        <v>569863.82325599995</v>
      </c>
      <c r="CD68" s="12">
        <v>10.6</v>
      </c>
      <c r="CE68" s="28">
        <f t="shared" si="62"/>
        <v>287645.54888159997</v>
      </c>
      <c r="CF68" s="12">
        <v>3.1</v>
      </c>
      <c r="CG68" s="28">
        <f t="shared" si="63"/>
        <v>84122.754861600013</v>
      </c>
      <c r="CH68" s="12">
        <v>13.6</v>
      </c>
      <c r="CI68" s="28">
        <f t="shared" si="64"/>
        <v>90.454575119999987</v>
      </c>
      <c r="CJ68" s="12">
        <v>7.7</v>
      </c>
      <c r="CK68" s="12">
        <v>34.4</v>
      </c>
      <c r="CL68" s="28">
        <f t="shared" si="65"/>
        <v>311163.7384127999</v>
      </c>
      <c r="CM68" s="12">
        <v>27.6</v>
      </c>
      <c r="CN68" s="28">
        <f t="shared" si="66"/>
        <v>24.965462733119999</v>
      </c>
      <c r="CO68" s="12">
        <v>30.3</v>
      </c>
      <c r="CP68" s="28">
        <f t="shared" si="67"/>
        <v>27.407736261359997</v>
      </c>
      <c r="CQ68" s="12">
        <v>7.3</v>
      </c>
      <c r="CR68" s="28">
        <f t="shared" si="34"/>
        <v>147.095</v>
      </c>
      <c r="CS68" s="12">
        <v>0.11</v>
      </c>
      <c r="CT68" s="28">
        <f t="shared" si="35"/>
        <v>2.2164999999999999</v>
      </c>
      <c r="CU68" s="39"/>
      <c r="CV68" s="4">
        <v>0</v>
      </c>
      <c r="CW68" s="4">
        <v>72</v>
      </c>
      <c r="CX68" s="4">
        <v>1</v>
      </c>
      <c r="CY68" s="4">
        <v>1</v>
      </c>
      <c r="CZ68" s="4" t="s">
        <v>93</v>
      </c>
      <c r="DA68" s="4">
        <v>1</v>
      </c>
      <c r="DB68" s="4" t="s">
        <v>316</v>
      </c>
      <c r="DC68" s="4">
        <v>0.47</v>
      </c>
      <c r="DD68" s="4">
        <v>521</v>
      </c>
      <c r="DE68" s="4">
        <v>446</v>
      </c>
      <c r="DF68" s="4">
        <v>56</v>
      </c>
      <c r="DG68" s="4">
        <v>6756</v>
      </c>
      <c r="DH68" s="4">
        <v>7.6999999999999999E-2</v>
      </c>
      <c r="DI68" s="4">
        <v>0.86</v>
      </c>
      <c r="DJ68" s="4">
        <v>1171</v>
      </c>
      <c r="DK68" s="4">
        <v>22.41</v>
      </c>
      <c r="DL68" s="4" t="s">
        <v>96</v>
      </c>
      <c r="DM68" s="4">
        <v>20</v>
      </c>
      <c r="DN68" s="4">
        <v>7.5</v>
      </c>
      <c r="DO68" s="4">
        <v>1</v>
      </c>
      <c r="DP68" s="4">
        <v>2</v>
      </c>
      <c r="DQ68" s="4">
        <v>2</v>
      </c>
      <c r="DR68" s="4">
        <v>2</v>
      </c>
      <c r="DS68" s="4">
        <v>1</v>
      </c>
      <c r="DT68" s="4">
        <v>0.5</v>
      </c>
      <c r="DU68" s="4">
        <v>0</v>
      </c>
      <c r="DV68" s="4">
        <v>309</v>
      </c>
      <c r="DW68" s="4">
        <v>53</v>
      </c>
      <c r="DX68" s="4">
        <v>1</v>
      </c>
      <c r="DY68" s="4"/>
      <c r="DZ68" s="4"/>
      <c r="EA68" s="4"/>
      <c r="EB68" s="4">
        <v>0</v>
      </c>
      <c r="EC68" s="6">
        <v>0</v>
      </c>
      <c r="ED68" s="6">
        <v>1</v>
      </c>
      <c r="EE68" s="6">
        <v>0</v>
      </c>
      <c r="EF68" s="6">
        <v>0</v>
      </c>
      <c r="EG68" s="6">
        <v>0</v>
      </c>
      <c r="EH68" s="6">
        <v>1</v>
      </c>
      <c r="EI68" s="6">
        <v>0</v>
      </c>
      <c r="EJ68" s="6">
        <v>0</v>
      </c>
      <c r="EK68" s="6">
        <v>1</v>
      </c>
      <c r="EL68" s="6">
        <v>1</v>
      </c>
      <c r="EM68" s="6">
        <v>1</v>
      </c>
      <c r="EN68" s="6">
        <v>2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4"/>
      <c r="EV68" s="4"/>
      <c r="EW68" s="4"/>
      <c r="EX68" s="4"/>
    </row>
    <row r="69" spans="1:154" s="5" customFormat="1" ht="15.75" customHeight="1">
      <c r="A69" s="12">
        <v>53</v>
      </c>
      <c r="B69" s="12">
        <v>7041323</v>
      </c>
      <c r="C69" s="12" t="s">
        <v>199</v>
      </c>
      <c r="D69" s="12" t="s">
        <v>200</v>
      </c>
      <c r="E69" s="12">
        <v>1870279</v>
      </c>
      <c r="F69" s="12">
        <v>6547180</v>
      </c>
      <c r="G69" s="12">
        <v>4.53</v>
      </c>
      <c r="H69" s="12">
        <v>41.6</v>
      </c>
      <c r="I69" s="12">
        <v>14.4</v>
      </c>
      <c r="J69" s="12">
        <v>178</v>
      </c>
      <c r="K69" s="12">
        <v>6.71</v>
      </c>
      <c r="L69" s="12">
        <v>68.98</v>
      </c>
      <c r="M69" s="12">
        <v>0.76</v>
      </c>
      <c r="N69" s="12">
        <v>7.78</v>
      </c>
      <c r="O69" s="12">
        <v>0.27</v>
      </c>
      <c r="P69" s="12">
        <v>2.72</v>
      </c>
      <c r="Q69" s="12">
        <v>0.04</v>
      </c>
      <c r="R69" s="12">
        <v>0.41</v>
      </c>
      <c r="S69" s="12">
        <v>1.96</v>
      </c>
      <c r="T69" s="12">
        <v>20.11</v>
      </c>
      <c r="U69" s="12">
        <v>2306</v>
      </c>
      <c r="V69" s="12">
        <v>9.6</v>
      </c>
      <c r="W69" s="28">
        <f t="shared" si="36"/>
        <v>221.37599999999998</v>
      </c>
      <c r="X69" s="12">
        <v>57.8</v>
      </c>
      <c r="Y69" s="28">
        <f t="shared" si="43"/>
        <v>1332.8679999999999</v>
      </c>
      <c r="Z69" s="12">
        <v>37.6</v>
      </c>
      <c r="AA69" s="28">
        <f t="shared" si="44"/>
        <v>867.05600000000004</v>
      </c>
      <c r="AB69" s="12">
        <v>22.7</v>
      </c>
      <c r="AC69" s="28">
        <f t="shared" si="45"/>
        <v>523.46199999999999</v>
      </c>
      <c r="AD69" s="12">
        <v>14.4</v>
      </c>
      <c r="AE69" s="29">
        <f t="shared" si="46"/>
        <v>332.06400000000002</v>
      </c>
      <c r="AF69" s="30">
        <v>0.46</v>
      </c>
      <c r="AG69" s="29">
        <f t="shared" si="47"/>
        <v>10.6076</v>
      </c>
      <c r="AH69" s="12">
        <v>67.3</v>
      </c>
      <c r="AI69" s="28">
        <f t="shared" si="37"/>
        <v>1551.9379999999999</v>
      </c>
      <c r="AJ69" s="12">
        <v>70.5</v>
      </c>
      <c r="AK69" s="28">
        <f t="shared" si="38"/>
        <v>1094.1162899999999</v>
      </c>
      <c r="AL69" s="12">
        <v>18.3</v>
      </c>
      <c r="AM69" s="28">
        <f t="shared" si="48"/>
        <v>200.22328107000001</v>
      </c>
      <c r="AN69" s="12">
        <v>76.7</v>
      </c>
      <c r="AO69" s="28">
        <f t="shared" si="49"/>
        <v>839.18719442999998</v>
      </c>
      <c r="AP69" s="12">
        <v>4.7</v>
      </c>
      <c r="AQ69" s="28">
        <f t="shared" si="50"/>
        <v>51.423465630000003</v>
      </c>
      <c r="AR69" s="12">
        <v>0.11</v>
      </c>
      <c r="AS69" s="28">
        <f t="shared" si="51"/>
        <v>1.2035279189999999</v>
      </c>
      <c r="AT69" s="12">
        <v>27.6</v>
      </c>
      <c r="AU69" s="28">
        <f t="shared" si="39"/>
        <v>428.33488799999998</v>
      </c>
      <c r="AV69" s="12">
        <v>9.1999999999999993</v>
      </c>
      <c r="AW69" s="28">
        <f t="shared" si="52"/>
        <v>39.406809695999996</v>
      </c>
      <c r="AX69" s="12">
        <v>59.7</v>
      </c>
      <c r="AY69" s="28">
        <f t="shared" si="53"/>
        <v>255.715928136</v>
      </c>
      <c r="AZ69" s="12">
        <v>3.8</v>
      </c>
      <c r="BA69" s="28">
        <f t="shared" si="54"/>
        <v>16.276725743999997</v>
      </c>
      <c r="BB69" s="12">
        <v>8.6999999999999993</v>
      </c>
      <c r="BC69" s="28">
        <f t="shared" si="55"/>
        <v>37.265135255999994</v>
      </c>
      <c r="BD69" s="12">
        <v>14.9</v>
      </c>
      <c r="BE69" s="28">
        <f t="shared" si="56"/>
        <v>63.821898311999995</v>
      </c>
      <c r="BF69" s="12">
        <v>0.12</v>
      </c>
      <c r="BG69" s="28">
        <f t="shared" si="40"/>
        <v>1.8623255999999997</v>
      </c>
      <c r="BH69" s="12">
        <v>0.57999999999999996</v>
      </c>
      <c r="BI69" s="28">
        <f t="shared" si="41"/>
        <v>9.0012403999999986</v>
      </c>
      <c r="BJ69" s="12">
        <v>1.2</v>
      </c>
      <c r="BK69" s="28">
        <f t="shared" si="42"/>
        <v>18.623255999999998</v>
      </c>
      <c r="BL69" s="12">
        <v>9.8000000000000007</v>
      </c>
      <c r="BM69" s="12"/>
      <c r="BN69" s="28">
        <f t="shared" si="57"/>
        <v>107.22339642000001</v>
      </c>
      <c r="BO69" s="12">
        <v>62.2</v>
      </c>
      <c r="BP69" s="12">
        <v>35.9</v>
      </c>
      <c r="BQ69" s="12">
        <v>11.7</v>
      </c>
      <c r="BR69" s="12">
        <v>19.7</v>
      </c>
      <c r="BS69" s="12">
        <v>13.3</v>
      </c>
      <c r="BT69" s="12">
        <v>7.4</v>
      </c>
      <c r="BU69" s="12">
        <v>48.9</v>
      </c>
      <c r="BV69" s="28">
        <f t="shared" si="58"/>
        <v>5350228.6580999997</v>
      </c>
      <c r="BW69" s="12">
        <v>26.1</v>
      </c>
      <c r="BX69" s="12">
        <v>15.4</v>
      </c>
      <c r="BY69" s="28">
        <f t="shared" si="59"/>
        <v>823935.21334739996</v>
      </c>
      <c r="BZ69" s="12">
        <v>31.4</v>
      </c>
      <c r="CA69" s="28">
        <f t="shared" si="60"/>
        <v>1679971.7986433997</v>
      </c>
      <c r="CB69" s="12">
        <v>12.3</v>
      </c>
      <c r="CC69" s="28">
        <f t="shared" si="61"/>
        <v>658078.12494630006</v>
      </c>
      <c r="CD69" s="12">
        <v>8.9</v>
      </c>
      <c r="CE69" s="28">
        <f t="shared" si="62"/>
        <v>476170.35057090002</v>
      </c>
      <c r="CF69" s="12">
        <v>5.9</v>
      </c>
      <c r="CG69" s="28">
        <f t="shared" si="63"/>
        <v>315663.49082790001</v>
      </c>
      <c r="CH69" s="12">
        <v>20.7</v>
      </c>
      <c r="CI69" s="28">
        <f t="shared" si="64"/>
        <v>226.48207202999998</v>
      </c>
      <c r="CJ69" s="12">
        <v>11.2</v>
      </c>
      <c r="CK69" s="12">
        <v>41.7</v>
      </c>
      <c r="CL69" s="28">
        <f t="shared" si="65"/>
        <v>944430.24036509998</v>
      </c>
      <c r="CM69" s="12">
        <v>11.3</v>
      </c>
      <c r="CN69" s="28">
        <f t="shared" si="66"/>
        <v>25.592474139390003</v>
      </c>
      <c r="CO69" s="12">
        <v>35.799999999999997</v>
      </c>
      <c r="CP69" s="28">
        <f t="shared" si="67"/>
        <v>81.080581786739984</v>
      </c>
      <c r="CQ69" s="12">
        <v>18</v>
      </c>
      <c r="CR69" s="28">
        <f t="shared" si="34"/>
        <v>415.08</v>
      </c>
      <c r="CS69" s="12">
        <v>0.37</v>
      </c>
      <c r="CT69" s="28">
        <f t="shared" si="35"/>
        <v>8.5321999999999996</v>
      </c>
      <c r="CU69" s="27">
        <v>45946</v>
      </c>
      <c r="CV69" s="11">
        <v>0</v>
      </c>
      <c r="CW69" s="11">
        <v>71</v>
      </c>
      <c r="CX69" s="11">
        <v>2</v>
      </c>
      <c r="CY69" s="11">
        <v>1</v>
      </c>
      <c r="CZ69" s="11" t="s">
        <v>93</v>
      </c>
      <c r="DA69" s="11">
        <v>1</v>
      </c>
      <c r="DB69" s="11" t="s">
        <v>317</v>
      </c>
      <c r="DC69" s="11">
        <v>0.26</v>
      </c>
      <c r="DD69" s="11">
        <v>521</v>
      </c>
      <c r="DE69" s="11">
        <v>346</v>
      </c>
      <c r="DF69" s="11">
        <v>48</v>
      </c>
      <c r="DG69" s="11">
        <v>7952</v>
      </c>
      <c r="DH69" s="11">
        <v>6.6000000000000003E-2</v>
      </c>
      <c r="DI69" s="11">
        <v>0.66</v>
      </c>
      <c r="DJ69" s="11">
        <v>621</v>
      </c>
      <c r="DK69" s="11">
        <v>13.4</v>
      </c>
      <c r="DL69" s="11" t="s">
        <v>96</v>
      </c>
      <c r="DM69" s="11">
        <v>21</v>
      </c>
      <c r="DN69" s="11">
        <v>2.5</v>
      </c>
      <c r="DO69" s="11">
        <v>0.5</v>
      </c>
      <c r="DP69" s="11">
        <v>1</v>
      </c>
      <c r="DQ69" s="11">
        <v>0.5</v>
      </c>
      <c r="DR69" s="11">
        <v>1</v>
      </c>
      <c r="DS69" s="11">
        <v>0</v>
      </c>
      <c r="DT69" s="11">
        <v>0</v>
      </c>
      <c r="DU69" s="11">
        <v>0</v>
      </c>
      <c r="DV69" s="11">
        <v>297</v>
      </c>
      <c r="DW69" s="11">
        <v>52</v>
      </c>
      <c r="DX69" s="11">
        <v>2</v>
      </c>
      <c r="DY69" s="11"/>
      <c r="DZ69" s="11"/>
      <c r="EA69" s="11"/>
      <c r="EB69" s="11">
        <v>1</v>
      </c>
      <c r="EC69" s="6">
        <v>1</v>
      </c>
      <c r="ED69" s="6">
        <v>1</v>
      </c>
      <c r="EE69" s="6">
        <v>1</v>
      </c>
      <c r="EF69" s="6">
        <v>1</v>
      </c>
      <c r="EG69" s="6">
        <v>0</v>
      </c>
      <c r="EH69" s="6">
        <v>1</v>
      </c>
      <c r="EI69" s="6">
        <v>0</v>
      </c>
      <c r="EJ69" s="6">
        <v>0</v>
      </c>
      <c r="EK69" s="6">
        <v>1</v>
      </c>
      <c r="EL69" s="6">
        <v>1</v>
      </c>
      <c r="EM69" s="6">
        <v>1</v>
      </c>
      <c r="EN69" s="6">
        <v>1</v>
      </c>
      <c r="EO69" s="6">
        <v>0</v>
      </c>
      <c r="EP69" s="6">
        <v>1</v>
      </c>
      <c r="EQ69" s="6">
        <v>1</v>
      </c>
      <c r="ER69" s="6">
        <v>0</v>
      </c>
      <c r="ES69" s="6">
        <v>0</v>
      </c>
      <c r="ET69" s="6">
        <v>1</v>
      </c>
      <c r="EU69" s="9" t="s">
        <v>318</v>
      </c>
      <c r="EV69" s="4"/>
      <c r="EW69" s="4"/>
      <c r="EX69" s="4"/>
    </row>
    <row r="70" spans="1:154" s="5" customFormat="1" ht="15.75" customHeight="1">
      <c r="A70" s="12">
        <v>29</v>
      </c>
      <c r="B70" s="12">
        <v>7040092</v>
      </c>
      <c r="C70" s="12" t="s">
        <v>129</v>
      </c>
      <c r="D70" s="12" t="s">
        <v>404</v>
      </c>
      <c r="E70" s="12">
        <v>2037210</v>
      </c>
      <c r="F70" s="12">
        <v>6557902</v>
      </c>
      <c r="G70" s="12">
        <v>5.01</v>
      </c>
      <c r="H70" s="12">
        <v>43.1</v>
      </c>
      <c r="I70" s="12">
        <v>14.1</v>
      </c>
      <c r="J70" s="12">
        <v>221</v>
      </c>
      <c r="K70" s="12">
        <v>3.67</v>
      </c>
      <c r="L70" s="12">
        <v>54.71</v>
      </c>
      <c r="M70" s="12">
        <v>0.63</v>
      </c>
      <c r="N70" s="12">
        <v>9.35</v>
      </c>
      <c r="O70" s="12">
        <v>0.27</v>
      </c>
      <c r="P70" s="12">
        <v>3.98</v>
      </c>
      <c r="Q70" s="12">
        <v>0.04</v>
      </c>
      <c r="R70" s="12">
        <v>0.66</v>
      </c>
      <c r="S70" s="12">
        <v>2.1</v>
      </c>
      <c r="T70" s="12">
        <v>31.3</v>
      </c>
      <c r="U70" s="12">
        <v>2260</v>
      </c>
      <c r="V70" s="12">
        <v>6.8</v>
      </c>
      <c r="W70" s="28">
        <f t="shared" si="36"/>
        <v>153.68</v>
      </c>
      <c r="X70" s="12">
        <v>42.5</v>
      </c>
      <c r="Y70" s="28">
        <f t="shared" si="43"/>
        <v>960.5</v>
      </c>
      <c r="Z70" s="12">
        <v>53</v>
      </c>
      <c r="AA70" s="28">
        <f t="shared" si="44"/>
        <v>1197.8</v>
      </c>
      <c r="AB70" s="12">
        <v>23.2</v>
      </c>
      <c r="AC70" s="28">
        <f t="shared" si="45"/>
        <v>524.32000000000005</v>
      </c>
      <c r="AD70" s="12">
        <v>29.9</v>
      </c>
      <c r="AE70" s="29">
        <f t="shared" si="46"/>
        <v>675.74</v>
      </c>
      <c r="AF70" s="30"/>
      <c r="AG70" s="30"/>
      <c r="AH70" s="12">
        <v>69.400000000000006</v>
      </c>
      <c r="AI70" s="28">
        <f t="shared" si="37"/>
        <v>1568.44</v>
      </c>
      <c r="AJ70" s="12">
        <v>63.5</v>
      </c>
      <c r="AK70" s="28">
        <f t="shared" si="38"/>
        <v>995.95940000000007</v>
      </c>
      <c r="AL70" s="12">
        <v>41.5</v>
      </c>
      <c r="AM70" s="28">
        <f t="shared" si="48"/>
        <v>413.323151</v>
      </c>
      <c r="AN70" s="12">
        <v>42.5</v>
      </c>
      <c r="AO70" s="28">
        <f t="shared" si="49"/>
        <v>423.28274499999998</v>
      </c>
      <c r="AP70" s="12">
        <v>6.5</v>
      </c>
      <c r="AQ70" s="28">
        <f t="shared" si="50"/>
        <v>64.737361000000007</v>
      </c>
      <c r="AR70" s="12">
        <v>8</v>
      </c>
      <c r="AS70" s="28">
        <f t="shared" si="51"/>
        <v>79.676752000000008</v>
      </c>
      <c r="AT70" s="12">
        <v>28</v>
      </c>
      <c r="AU70" s="28">
        <f t="shared" si="39"/>
        <v>439.16320000000002</v>
      </c>
      <c r="AV70" s="12">
        <v>21.3</v>
      </c>
      <c r="AW70" s="28">
        <f t="shared" si="52"/>
        <v>93.541761600000015</v>
      </c>
      <c r="AX70" s="12">
        <v>31.8</v>
      </c>
      <c r="AY70" s="28">
        <f t="shared" si="53"/>
        <v>139.65389759999999</v>
      </c>
      <c r="AZ70" s="12">
        <v>16</v>
      </c>
      <c r="BA70" s="28">
        <f t="shared" si="54"/>
        <v>70.266112000000007</v>
      </c>
      <c r="BB70" s="12">
        <v>2.4</v>
      </c>
      <c r="BC70" s="28">
        <f t="shared" si="55"/>
        <v>10.5399168</v>
      </c>
      <c r="BD70" s="12">
        <v>28.4</v>
      </c>
      <c r="BE70" s="28">
        <f t="shared" si="56"/>
        <v>124.72234880000001</v>
      </c>
      <c r="BF70" s="12">
        <v>2.2000000000000002</v>
      </c>
      <c r="BG70" s="28">
        <f t="shared" si="40"/>
        <v>34.505680000000005</v>
      </c>
      <c r="BH70" s="12">
        <v>0.89</v>
      </c>
      <c r="BI70" s="28">
        <f t="shared" si="41"/>
        <v>13.959116000000002</v>
      </c>
      <c r="BJ70" s="12">
        <v>5.4</v>
      </c>
      <c r="BK70" s="28">
        <f t="shared" si="42"/>
        <v>84.695760000000007</v>
      </c>
      <c r="BL70" s="12">
        <v>6.7</v>
      </c>
      <c r="BM70" s="12"/>
      <c r="BN70" s="28">
        <f t="shared" si="57"/>
        <v>66.7292798</v>
      </c>
      <c r="BO70" s="12">
        <v>57.3</v>
      </c>
      <c r="BP70" s="12">
        <v>22.1</v>
      </c>
      <c r="BQ70" s="12">
        <v>27.2</v>
      </c>
      <c r="BR70" s="12">
        <v>20.5</v>
      </c>
      <c r="BS70" s="12">
        <v>17.2</v>
      </c>
      <c r="BT70" s="12">
        <v>12.7</v>
      </c>
      <c r="BU70" s="12">
        <v>32.9</v>
      </c>
      <c r="BV70" s="28">
        <f t="shared" si="58"/>
        <v>3276706.426</v>
      </c>
      <c r="BW70" s="12">
        <v>25.6</v>
      </c>
      <c r="BX70" s="12">
        <v>13.1</v>
      </c>
      <c r="BY70" s="28">
        <f t="shared" si="59"/>
        <v>429248.54180599994</v>
      </c>
      <c r="BZ70" s="12">
        <v>21.7</v>
      </c>
      <c r="CA70" s="28">
        <f t="shared" si="60"/>
        <v>711045.29444199998</v>
      </c>
      <c r="CB70" s="12">
        <v>21.6</v>
      </c>
      <c r="CC70" s="28">
        <f t="shared" si="61"/>
        <v>707768.58801600011</v>
      </c>
      <c r="CD70" s="12">
        <v>10.1</v>
      </c>
      <c r="CE70" s="28">
        <f t="shared" si="62"/>
        <v>330947.34902599995</v>
      </c>
      <c r="CF70" s="12">
        <v>7.9</v>
      </c>
      <c r="CG70" s="28">
        <f t="shared" si="63"/>
        <v>258859.807654</v>
      </c>
      <c r="CH70" s="12">
        <v>6.4</v>
      </c>
      <c r="CI70" s="28">
        <f t="shared" si="64"/>
        <v>63.74140160000001</v>
      </c>
      <c r="CJ70" s="12">
        <v>6</v>
      </c>
      <c r="CK70" s="12">
        <v>32.4</v>
      </c>
      <c r="CL70" s="28">
        <f t="shared" si="65"/>
        <v>206522.14118400001</v>
      </c>
      <c r="CM70" s="12">
        <v>25.5</v>
      </c>
      <c r="CN70" s="28">
        <f t="shared" si="66"/>
        <v>16.254057408000005</v>
      </c>
      <c r="CO70" s="12">
        <v>36.1</v>
      </c>
      <c r="CP70" s="28">
        <f t="shared" si="67"/>
        <v>23.010645977600007</v>
      </c>
      <c r="CQ70" s="12">
        <v>15.7</v>
      </c>
      <c r="CR70" s="28">
        <f t="shared" si="34"/>
        <v>354.82</v>
      </c>
      <c r="CS70" s="12">
        <v>0.55000000000000004</v>
      </c>
      <c r="CT70" s="28">
        <f t="shared" si="35"/>
        <v>12.43</v>
      </c>
      <c r="CU70" s="27">
        <v>45876</v>
      </c>
      <c r="CV70" s="11">
        <v>1</v>
      </c>
      <c r="CW70" s="11">
        <v>71</v>
      </c>
      <c r="CX70" s="11">
        <v>1</v>
      </c>
      <c r="CY70" s="11">
        <v>1</v>
      </c>
      <c r="CZ70" s="11" t="s">
        <v>93</v>
      </c>
      <c r="DA70" s="11">
        <v>1</v>
      </c>
      <c r="DB70" s="11" t="s">
        <v>213</v>
      </c>
      <c r="DC70" s="11">
        <v>0.2</v>
      </c>
      <c r="DD70" s="11">
        <v>855</v>
      </c>
      <c r="DE70" s="11">
        <v>453</v>
      </c>
      <c r="DF70" s="11">
        <v>56</v>
      </c>
      <c r="DG70" s="11">
        <v>17364</v>
      </c>
      <c r="DH70" s="11">
        <v>4.9000000000000002E-2</v>
      </c>
      <c r="DI70" s="11">
        <v>0.53</v>
      </c>
      <c r="DJ70" s="11">
        <v>830</v>
      </c>
      <c r="DK70" s="11">
        <v>18.71</v>
      </c>
      <c r="DL70" s="11" t="s">
        <v>95</v>
      </c>
      <c r="DM70" s="11">
        <v>23</v>
      </c>
      <c r="DN70" s="11">
        <v>1.5</v>
      </c>
      <c r="DO70" s="11">
        <v>0.5</v>
      </c>
      <c r="DP70" s="11">
        <v>0.5</v>
      </c>
      <c r="DQ70" s="11">
        <v>0.5</v>
      </c>
      <c r="DR70" s="11">
        <v>0.5</v>
      </c>
      <c r="DS70" s="11">
        <v>0</v>
      </c>
      <c r="DT70" s="11">
        <v>0</v>
      </c>
      <c r="DU70" s="11">
        <v>0</v>
      </c>
      <c r="DV70" s="11">
        <v>361</v>
      </c>
      <c r="DW70" s="11">
        <v>65</v>
      </c>
      <c r="DX70" s="11"/>
      <c r="DY70" s="11"/>
      <c r="DZ70" s="11"/>
      <c r="EA70" s="11"/>
      <c r="EB70" s="11">
        <v>1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1</v>
      </c>
      <c r="EL70" s="6">
        <v>1</v>
      </c>
      <c r="EM70" s="6">
        <v>0</v>
      </c>
      <c r="EN70" s="6">
        <v>1</v>
      </c>
      <c r="EO70" s="6">
        <v>0</v>
      </c>
      <c r="EP70" s="6">
        <v>1</v>
      </c>
      <c r="EQ70" s="6">
        <v>1</v>
      </c>
      <c r="ER70" s="6">
        <v>0</v>
      </c>
      <c r="ES70" s="6">
        <v>0</v>
      </c>
      <c r="ET70" s="6">
        <v>0</v>
      </c>
      <c r="EU70" s="11"/>
      <c r="EV70" s="4"/>
      <c r="EW70" s="4"/>
      <c r="EX70" s="4"/>
    </row>
    <row r="71" spans="1:154" s="5" customFormat="1" ht="15.75" customHeight="1">
      <c r="A71" s="12">
        <v>58</v>
      </c>
      <c r="B71" s="12">
        <v>7041531</v>
      </c>
      <c r="C71" s="12" t="s">
        <v>108</v>
      </c>
      <c r="D71" s="12" t="s">
        <v>201</v>
      </c>
      <c r="E71" s="12">
        <v>1867170</v>
      </c>
      <c r="F71" s="12">
        <v>6562507</v>
      </c>
      <c r="G71" s="12">
        <v>5.32</v>
      </c>
      <c r="H71" s="12">
        <v>49.7</v>
      </c>
      <c r="I71" s="12">
        <v>16.100000000000001</v>
      </c>
      <c r="J71" s="12">
        <v>164</v>
      </c>
      <c r="K71" s="12">
        <v>4</v>
      </c>
      <c r="L71" s="12">
        <v>72.83</v>
      </c>
      <c r="M71" s="12">
        <v>0.44</v>
      </c>
      <c r="N71" s="12">
        <v>8.0399999999999991</v>
      </c>
      <c r="O71" s="12">
        <v>0.16</v>
      </c>
      <c r="P71" s="12">
        <v>2.85</v>
      </c>
      <c r="Q71" s="12">
        <v>0.05</v>
      </c>
      <c r="R71" s="12">
        <v>0.99</v>
      </c>
      <c r="S71" s="12">
        <v>0.84</v>
      </c>
      <c r="T71" s="12">
        <v>15.29</v>
      </c>
      <c r="U71" s="12">
        <v>1024</v>
      </c>
      <c r="V71" s="12">
        <v>3.5</v>
      </c>
      <c r="W71" s="28">
        <f t="shared" si="36"/>
        <v>35.840000000000003</v>
      </c>
      <c r="X71" s="12">
        <v>29.9</v>
      </c>
      <c r="Y71" s="28">
        <f t="shared" si="43"/>
        <v>306.17599999999999</v>
      </c>
      <c r="Z71" s="12">
        <v>57.5</v>
      </c>
      <c r="AA71" s="28">
        <f t="shared" si="44"/>
        <v>588.79999999999995</v>
      </c>
      <c r="AB71" s="12">
        <v>23.6</v>
      </c>
      <c r="AC71" s="28">
        <f t="shared" si="45"/>
        <v>241.66400000000002</v>
      </c>
      <c r="AD71" s="12">
        <v>33.1</v>
      </c>
      <c r="AE71" s="29">
        <f t="shared" si="46"/>
        <v>338.94400000000002</v>
      </c>
      <c r="AF71" s="30">
        <v>0.82</v>
      </c>
      <c r="AG71" s="29">
        <f t="shared" si="47"/>
        <v>8.3967999999999989</v>
      </c>
      <c r="AH71" s="12">
        <v>59.4</v>
      </c>
      <c r="AI71" s="28">
        <f t="shared" si="37"/>
        <v>608.25599999999997</v>
      </c>
      <c r="AJ71" s="12">
        <v>78.599999999999994</v>
      </c>
      <c r="AK71" s="28">
        <f t="shared" si="38"/>
        <v>478.08921599999996</v>
      </c>
      <c r="AL71" s="12">
        <v>49.5</v>
      </c>
      <c r="AM71" s="28">
        <f t="shared" si="48"/>
        <v>236.65416191999998</v>
      </c>
      <c r="AN71" s="12">
        <v>34.4</v>
      </c>
      <c r="AO71" s="28">
        <f t="shared" si="49"/>
        <v>164.46269030399998</v>
      </c>
      <c r="AP71" s="12">
        <v>2.8</v>
      </c>
      <c r="AQ71" s="28">
        <f t="shared" si="50"/>
        <v>13.386498047999998</v>
      </c>
      <c r="AR71" s="12">
        <v>9.6</v>
      </c>
      <c r="AS71" s="28">
        <f t="shared" si="51"/>
        <v>45.896564735999988</v>
      </c>
      <c r="AT71" s="12">
        <v>18.2</v>
      </c>
      <c r="AU71" s="28">
        <f t="shared" si="39"/>
        <v>110.70259199999998</v>
      </c>
      <c r="AV71" s="12"/>
      <c r="AW71" s="12"/>
      <c r="AX71" s="28"/>
      <c r="AY71" s="28"/>
      <c r="AZ71" s="12"/>
      <c r="BA71" s="12"/>
      <c r="BB71" s="28"/>
      <c r="BC71" s="28"/>
      <c r="BD71" s="12"/>
      <c r="BE71" s="28"/>
      <c r="BF71" s="12">
        <v>0.94</v>
      </c>
      <c r="BG71" s="28">
        <f t="shared" si="40"/>
        <v>5.7176063999999993</v>
      </c>
      <c r="BH71" s="12">
        <v>0.53</v>
      </c>
      <c r="BI71" s="28">
        <f t="shared" si="41"/>
        <v>3.2237567999999999</v>
      </c>
      <c r="BJ71" s="12">
        <v>1.7</v>
      </c>
      <c r="BK71" s="28">
        <f t="shared" si="42"/>
        <v>10.340352000000001</v>
      </c>
      <c r="BL71" s="12">
        <v>8.1</v>
      </c>
      <c r="BM71" s="12"/>
      <c r="BN71" s="28">
        <f t="shared" si="57"/>
        <v>38.725226495999998</v>
      </c>
      <c r="BO71" s="12">
        <v>5.2</v>
      </c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>
        <v>30.6</v>
      </c>
      <c r="CR71" s="28">
        <f t="shared" si="34"/>
        <v>313.34399999999999</v>
      </c>
      <c r="CS71" s="12">
        <v>0.2</v>
      </c>
      <c r="CT71" s="28">
        <f t="shared" si="35"/>
        <v>2.048</v>
      </c>
      <c r="CU71" s="27">
        <v>45954</v>
      </c>
      <c r="CV71" s="11">
        <v>0</v>
      </c>
      <c r="CW71" s="11">
        <v>76</v>
      </c>
      <c r="CX71" s="11">
        <v>1</v>
      </c>
      <c r="CY71" s="11">
        <v>1</v>
      </c>
      <c r="CZ71" s="11" t="s">
        <v>93</v>
      </c>
      <c r="DA71" s="11">
        <v>1</v>
      </c>
      <c r="DB71" s="11" t="s">
        <v>97</v>
      </c>
      <c r="DC71" s="11">
        <v>0.26</v>
      </c>
      <c r="DD71" s="11">
        <v>683</v>
      </c>
      <c r="DE71" s="11">
        <v>365</v>
      </c>
      <c r="DF71" s="11">
        <v>49</v>
      </c>
      <c r="DG71" s="11">
        <v>12264</v>
      </c>
      <c r="DH71" s="11">
        <v>5.6000000000000001E-2</v>
      </c>
      <c r="DI71" s="11">
        <v>0.53</v>
      </c>
      <c r="DJ71" s="11">
        <v>1359</v>
      </c>
      <c r="DK71" s="11">
        <v>33.97</v>
      </c>
      <c r="DL71" s="11" t="s">
        <v>96</v>
      </c>
      <c r="DM71" s="11">
        <v>27</v>
      </c>
      <c r="DN71" s="11">
        <v>1</v>
      </c>
      <c r="DO71" s="11">
        <v>0.5</v>
      </c>
      <c r="DP71" s="11">
        <v>0.5</v>
      </c>
      <c r="DQ71" s="11">
        <v>0</v>
      </c>
      <c r="DR71" s="11">
        <v>0.5</v>
      </c>
      <c r="DS71" s="11">
        <v>0</v>
      </c>
      <c r="DT71" s="11">
        <v>0</v>
      </c>
      <c r="DU71" s="11">
        <v>0</v>
      </c>
      <c r="DV71" s="11">
        <v>327</v>
      </c>
      <c r="DW71" s="11">
        <v>55</v>
      </c>
      <c r="DX71" s="11">
        <v>2</v>
      </c>
      <c r="DY71" s="11"/>
      <c r="DZ71" s="11"/>
      <c r="EA71" s="11"/>
      <c r="EB71" s="11">
        <v>0</v>
      </c>
      <c r="EC71" s="6">
        <v>1</v>
      </c>
      <c r="ED71" s="6">
        <v>1</v>
      </c>
      <c r="EE71" s="6">
        <v>1</v>
      </c>
      <c r="EF71" s="6">
        <v>0</v>
      </c>
      <c r="EG71" s="6">
        <v>0</v>
      </c>
      <c r="EH71" s="6">
        <v>1</v>
      </c>
      <c r="EI71" s="6">
        <v>0</v>
      </c>
      <c r="EJ71" s="6">
        <v>0</v>
      </c>
      <c r="EK71" s="6">
        <v>1</v>
      </c>
      <c r="EL71" s="6">
        <v>1</v>
      </c>
      <c r="EM71" s="6">
        <v>1</v>
      </c>
      <c r="EN71" s="6">
        <v>1</v>
      </c>
      <c r="EO71" s="6">
        <v>1</v>
      </c>
      <c r="EP71" s="6">
        <v>0</v>
      </c>
      <c r="EQ71" s="6">
        <v>0</v>
      </c>
      <c r="ER71" s="6">
        <v>0</v>
      </c>
      <c r="ES71" s="6">
        <v>0</v>
      </c>
      <c r="ET71" s="6">
        <v>1</v>
      </c>
      <c r="EU71" s="4" t="s">
        <v>319</v>
      </c>
      <c r="EV71" s="4"/>
      <c r="EW71" s="4"/>
      <c r="EX71" s="4"/>
    </row>
    <row r="72" spans="1:154" s="5" customFormat="1" ht="15.75" customHeight="1">
      <c r="A72" s="12">
        <v>1</v>
      </c>
      <c r="B72" s="12">
        <v>7039017</v>
      </c>
      <c r="C72" s="12" t="s">
        <v>202</v>
      </c>
      <c r="D72" s="12" t="s">
        <v>203</v>
      </c>
      <c r="E72" s="12">
        <v>1860046</v>
      </c>
      <c r="F72" s="12">
        <v>6569936</v>
      </c>
      <c r="G72" s="12">
        <v>5.56</v>
      </c>
      <c r="H72" s="12">
        <v>46</v>
      </c>
      <c r="I72" s="12">
        <v>13.8</v>
      </c>
      <c r="J72" s="12">
        <v>230</v>
      </c>
      <c r="K72" s="12">
        <v>5.78</v>
      </c>
      <c r="L72" s="12">
        <v>61.9</v>
      </c>
      <c r="M72" s="12">
        <v>0.86</v>
      </c>
      <c r="N72" s="12">
        <v>9.1999999999999993</v>
      </c>
      <c r="O72" s="12">
        <v>0.08</v>
      </c>
      <c r="P72" s="12">
        <v>0.9</v>
      </c>
      <c r="Q72" s="12">
        <v>7.0000000000000007E-2</v>
      </c>
      <c r="R72" s="12">
        <v>0.7</v>
      </c>
      <c r="S72" s="12">
        <v>2.5499999999999998</v>
      </c>
      <c r="T72" s="12">
        <v>27.3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29"/>
      <c r="AF72" s="12"/>
      <c r="AG72" s="29"/>
      <c r="AH72" s="12"/>
      <c r="AI72" s="28"/>
      <c r="AJ72" s="12"/>
      <c r="AK72" s="28"/>
      <c r="AL72" s="28"/>
      <c r="AM72" s="28"/>
      <c r="AN72" s="12"/>
      <c r="AO72" s="28"/>
      <c r="AP72" s="28"/>
      <c r="AQ72" s="28"/>
      <c r="AR72" s="12"/>
      <c r="AS72" s="12"/>
      <c r="AT72" s="28"/>
      <c r="AU72" s="28"/>
      <c r="AV72" s="12"/>
      <c r="AW72" s="12"/>
      <c r="AX72" s="28"/>
      <c r="AY72" s="28"/>
      <c r="AZ72" s="12"/>
      <c r="BA72" s="12"/>
      <c r="BB72" s="28"/>
      <c r="BC72" s="28"/>
      <c r="BD72" s="12"/>
      <c r="BE72" s="12"/>
      <c r="BF72" s="28"/>
      <c r="BG72" s="28"/>
      <c r="BH72" s="12"/>
      <c r="BI72" s="12"/>
      <c r="BJ72" s="28"/>
      <c r="BK72" s="28"/>
      <c r="BL72" s="12"/>
      <c r="BM72" s="12"/>
      <c r="BN72" s="28"/>
      <c r="BO72" s="28"/>
      <c r="BP72" s="12"/>
      <c r="BQ72" s="28"/>
      <c r="BR72" s="12"/>
      <c r="BS72" s="28"/>
      <c r="BT72" s="12"/>
      <c r="BU72" s="28"/>
      <c r="BV72" s="28"/>
      <c r="BW72" s="12"/>
      <c r="BX72" s="28"/>
      <c r="BY72" s="28"/>
      <c r="BZ72" s="12"/>
      <c r="CA72" s="28"/>
      <c r="CB72" s="28"/>
      <c r="CC72" s="28"/>
      <c r="CD72" s="12"/>
      <c r="CE72" s="28"/>
      <c r="CF72" s="28"/>
      <c r="CG72" s="28"/>
      <c r="CH72" s="12"/>
      <c r="CI72" s="12"/>
      <c r="CJ72" s="28"/>
      <c r="CK72" s="12"/>
      <c r="CL72" s="12"/>
      <c r="CM72" s="12"/>
      <c r="CN72" s="12"/>
      <c r="CO72" s="12"/>
      <c r="CP72" s="12"/>
      <c r="CQ72" s="12"/>
      <c r="CR72" s="12"/>
      <c r="CS72" s="28"/>
      <c r="CT72" s="28"/>
      <c r="CU72" s="27">
        <v>45814</v>
      </c>
      <c r="CV72" s="11">
        <v>1</v>
      </c>
      <c r="CW72" s="11">
        <v>76</v>
      </c>
      <c r="CX72" s="11">
        <v>1</v>
      </c>
      <c r="CY72" s="11">
        <v>1</v>
      </c>
      <c r="CZ72" s="11" t="s">
        <v>93</v>
      </c>
      <c r="DA72" s="11">
        <v>1</v>
      </c>
      <c r="DB72" s="11" t="s">
        <v>214</v>
      </c>
      <c r="DC72" s="11">
        <v>0.48</v>
      </c>
      <c r="DD72" s="11">
        <v>597</v>
      </c>
      <c r="DE72" s="11">
        <v>574</v>
      </c>
      <c r="DF72" s="11">
        <v>79</v>
      </c>
      <c r="DG72" s="11">
        <v>14.066000000000001</v>
      </c>
      <c r="DH72" s="11">
        <v>4.2000000000000003E-2</v>
      </c>
      <c r="DI72" s="11">
        <v>0.96</v>
      </c>
      <c r="DJ72" s="11">
        <v>1062</v>
      </c>
      <c r="DK72" s="11">
        <v>32.04</v>
      </c>
      <c r="DL72" s="11" t="s">
        <v>95</v>
      </c>
      <c r="DM72" s="11">
        <v>25</v>
      </c>
      <c r="DN72" s="11">
        <v>3.5</v>
      </c>
      <c r="DO72" s="11">
        <v>0.5</v>
      </c>
      <c r="DP72" s="11">
        <v>1</v>
      </c>
      <c r="DQ72" s="11">
        <v>1</v>
      </c>
      <c r="DR72" s="11">
        <v>0.5</v>
      </c>
      <c r="DS72" s="11">
        <v>0.5</v>
      </c>
      <c r="DT72" s="11">
        <v>0.5</v>
      </c>
      <c r="DU72" s="11">
        <v>0</v>
      </c>
      <c r="DV72" s="11">
        <v>349</v>
      </c>
      <c r="DW72" s="11">
        <v>62</v>
      </c>
      <c r="DX72" s="11"/>
      <c r="DY72" s="11"/>
      <c r="DZ72" s="11"/>
      <c r="EA72" s="11"/>
      <c r="EB72" s="11">
        <v>1</v>
      </c>
      <c r="EC72" s="6">
        <v>1</v>
      </c>
      <c r="ED72" s="6">
        <v>1</v>
      </c>
      <c r="EE72" s="6">
        <v>1</v>
      </c>
      <c r="EF72" s="6">
        <v>1</v>
      </c>
      <c r="EG72" s="6">
        <v>0</v>
      </c>
      <c r="EH72" s="6">
        <v>1</v>
      </c>
      <c r="EI72" s="6">
        <v>0</v>
      </c>
      <c r="EJ72" s="6">
        <v>0</v>
      </c>
      <c r="EK72" s="6">
        <v>2</v>
      </c>
      <c r="EL72" s="6">
        <v>0</v>
      </c>
      <c r="EM72" s="6">
        <v>1</v>
      </c>
      <c r="EN72" s="6">
        <v>2</v>
      </c>
      <c r="EO72" s="6">
        <v>0</v>
      </c>
      <c r="EP72" s="6">
        <v>1</v>
      </c>
      <c r="EQ72" s="6">
        <v>1</v>
      </c>
      <c r="ER72" s="6">
        <v>0</v>
      </c>
      <c r="ES72" s="6">
        <v>0</v>
      </c>
      <c r="ET72" s="6">
        <v>0</v>
      </c>
      <c r="EU72" s="4" t="s">
        <v>320</v>
      </c>
      <c r="EV72" s="4"/>
      <c r="EW72" s="4"/>
      <c r="EX72" s="4"/>
    </row>
    <row r="73" spans="1:154" s="5" customFormat="1" ht="15.75" customHeight="1">
      <c r="A73" s="12">
        <v>36</v>
      </c>
      <c r="B73" s="12">
        <v>7040418</v>
      </c>
      <c r="C73" s="12" t="s">
        <v>141</v>
      </c>
      <c r="D73" s="12" t="s">
        <v>204</v>
      </c>
      <c r="E73" s="12">
        <v>2610484</v>
      </c>
      <c r="F73" s="12">
        <v>6591651</v>
      </c>
      <c r="G73" s="12">
        <v>4.1900000000000004</v>
      </c>
      <c r="H73" s="12">
        <v>36.799999999999997</v>
      </c>
      <c r="I73" s="12">
        <v>12.3</v>
      </c>
      <c r="J73" s="12">
        <v>212</v>
      </c>
      <c r="K73" s="12">
        <v>3.04</v>
      </c>
      <c r="L73" s="12">
        <v>60.1</v>
      </c>
      <c r="M73" s="12">
        <v>0.45</v>
      </c>
      <c r="N73" s="12">
        <v>8.9499999999999993</v>
      </c>
      <c r="O73" s="12">
        <v>0.05</v>
      </c>
      <c r="P73" s="12">
        <v>0.89</v>
      </c>
      <c r="Q73" s="12">
        <v>0.03</v>
      </c>
      <c r="R73" s="12">
        <v>0.67</v>
      </c>
      <c r="S73" s="12">
        <v>1.49</v>
      </c>
      <c r="T73" s="12">
        <v>29.39</v>
      </c>
      <c r="U73" s="12">
        <v>2057</v>
      </c>
      <c r="V73" s="12">
        <v>5.0999999999999996</v>
      </c>
      <c r="W73" s="28">
        <f t="shared" si="36"/>
        <v>104.90699999999998</v>
      </c>
      <c r="X73" s="12">
        <v>70</v>
      </c>
      <c r="Y73" s="28">
        <f t="shared" si="43"/>
        <v>1439.9</v>
      </c>
      <c r="Z73" s="12">
        <v>27.5</v>
      </c>
      <c r="AA73" s="28">
        <f t="shared" si="44"/>
        <v>565.67499999999995</v>
      </c>
      <c r="AB73" s="12">
        <v>11.6</v>
      </c>
      <c r="AC73" s="28">
        <f t="shared" si="45"/>
        <v>238.61199999999999</v>
      </c>
      <c r="AD73" s="12">
        <v>15.7</v>
      </c>
      <c r="AE73" s="29">
        <f t="shared" si="46"/>
        <v>322.94899999999996</v>
      </c>
      <c r="AF73" s="30">
        <v>0.22</v>
      </c>
      <c r="AG73" s="29">
        <f t="shared" si="47"/>
        <v>4.5254000000000003</v>
      </c>
      <c r="AH73" s="12">
        <v>68.8</v>
      </c>
      <c r="AI73" s="28">
        <f t="shared" si="37"/>
        <v>1415.2160000000001</v>
      </c>
      <c r="AJ73" s="12">
        <v>73.5</v>
      </c>
      <c r="AK73" s="28">
        <f t="shared" si="38"/>
        <v>1040.1837600000001</v>
      </c>
      <c r="AL73" s="12">
        <v>40.6</v>
      </c>
      <c r="AM73" s="28">
        <f t="shared" si="48"/>
        <v>422.31460656000002</v>
      </c>
      <c r="AN73" s="12">
        <v>53.3</v>
      </c>
      <c r="AO73" s="28">
        <f t="shared" si="49"/>
        <v>554.41794407999998</v>
      </c>
      <c r="AP73" s="12">
        <v>5.5</v>
      </c>
      <c r="AQ73" s="28">
        <f t="shared" si="50"/>
        <v>57.210106800000005</v>
      </c>
      <c r="AR73" s="12">
        <v>0.42</v>
      </c>
      <c r="AS73" s="28">
        <f t="shared" si="51"/>
        <v>4.3687717920000004</v>
      </c>
      <c r="AT73" s="12">
        <v>21.3</v>
      </c>
      <c r="AU73" s="28">
        <f t="shared" si="39"/>
        <v>301.44100800000001</v>
      </c>
      <c r="AV73" s="12">
        <v>6.3</v>
      </c>
      <c r="AW73" s="28">
        <f t="shared" si="52"/>
        <v>18.990783503999999</v>
      </c>
      <c r="AX73" s="12">
        <v>60.5</v>
      </c>
      <c r="AY73" s="28">
        <f t="shared" si="53"/>
        <v>182.37180984000003</v>
      </c>
      <c r="AZ73" s="12">
        <v>4.3</v>
      </c>
      <c r="BA73" s="28">
        <f t="shared" si="54"/>
        <v>12.961963344000001</v>
      </c>
      <c r="BB73" s="12">
        <v>6.4</v>
      </c>
      <c r="BC73" s="28">
        <f t="shared" si="55"/>
        <v>19.292224512000004</v>
      </c>
      <c r="BD73" s="12">
        <v>22.2</v>
      </c>
      <c r="BE73" s="28">
        <f t="shared" si="56"/>
        <v>66.919903775999998</v>
      </c>
      <c r="BF73" s="12">
        <v>0.5</v>
      </c>
      <c r="BG73" s="28">
        <f t="shared" si="40"/>
        <v>7.076080000000001</v>
      </c>
      <c r="BH73" s="12">
        <v>0.56999999999999995</v>
      </c>
      <c r="BI73" s="28">
        <f t="shared" si="41"/>
        <v>8.0667311999999995</v>
      </c>
      <c r="BJ73" s="12">
        <v>4.0999999999999996</v>
      </c>
      <c r="BK73" s="28">
        <f t="shared" si="42"/>
        <v>58.023855999999995</v>
      </c>
      <c r="BL73" s="12">
        <v>7.4</v>
      </c>
      <c r="BM73" s="12"/>
      <c r="BN73" s="28">
        <f t="shared" si="57"/>
        <v>76.973598240000015</v>
      </c>
      <c r="BO73" s="12">
        <v>40.200000000000003</v>
      </c>
      <c r="BP73" s="12">
        <v>28.4</v>
      </c>
      <c r="BQ73" s="12">
        <v>13.6</v>
      </c>
      <c r="BR73" s="12">
        <v>23.7</v>
      </c>
      <c r="BS73" s="12">
        <v>12</v>
      </c>
      <c r="BT73" s="12">
        <v>16.5</v>
      </c>
      <c r="BU73" s="12">
        <v>35.6</v>
      </c>
      <c r="BV73" s="28">
        <f t="shared" si="58"/>
        <v>3703054.1856000004</v>
      </c>
      <c r="BW73" s="12">
        <v>24.6</v>
      </c>
      <c r="BX73" s="12">
        <v>26.1</v>
      </c>
      <c r="BY73" s="28">
        <f t="shared" si="59"/>
        <v>966497.1424416001</v>
      </c>
      <c r="BZ73" s="12">
        <v>22.1</v>
      </c>
      <c r="CA73" s="28">
        <f t="shared" si="60"/>
        <v>818374.97501760023</v>
      </c>
      <c r="CB73" s="12">
        <v>14.3</v>
      </c>
      <c r="CC73" s="28">
        <f t="shared" si="61"/>
        <v>529536.74854080006</v>
      </c>
      <c r="CD73" s="12">
        <v>9.1</v>
      </c>
      <c r="CE73" s="28">
        <f t="shared" si="62"/>
        <v>336977.93088960001</v>
      </c>
      <c r="CF73" s="12">
        <v>3.8</v>
      </c>
      <c r="CG73" s="28">
        <f t="shared" si="63"/>
        <v>140716.0590528</v>
      </c>
      <c r="CH73" s="12">
        <v>15</v>
      </c>
      <c r="CI73" s="28">
        <f t="shared" si="64"/>
        <v>156.02756400000001</v>
      </c>
      <c r="CJ73" s="12">
        <v>11.3</v>
      </c>
      <c r="CK73" s="12">
        <v>40.9</v>
      </c>
      <c r="CL73" s="28">
        <f t="shared" si="65"/>
        <v>638152.73676000012</v>
      </c>
      <c r="CM73" s="12">
        <v>21.6</v>
      </c>
      <c r="CN73" s="28">
        <f t="shared" si="66"/>
        <v>33.701953824000007</v>
      </c>
      <c r="CO73" s="12">
        <v>26.2</v>
      </c>
      <c r="CP73" s="28">
        <f t="shared" si="67"/>
        <v>40.879221768000001</v>
      </c>
      <c r="CQ73" s="12">
        <v>22.7</v>
      </c>
      <c r="CR73" s="28">
        <f t="shared" ref="CR73:CR80" si="68">(CQ73*U73)/100</f>
        <v>466.93900000000002</v>
      </c>
      <c r="CS73" s="12">
        <v>0.6</v>
      </c>
      <c r="CT73" s="28">
        <f t="shared" ref="CT73:CT80" si="69">(CS73*U73)/100</f>
        <v>12.342000000000001</v>
      </c>
      <c r="CU73" s="27">
        <v>45897</v>
      </c>
      <c r="CV73" s="11">
        <v>1</v>
      </c>
      <c r="CW73" s="11">
        <v>63</v>
      </c>
      <c r="CX73" s="11">
        <v>2</v>
      </c>
      <c r="CY73" s="11">
        <v>1</v>
      </c>
      <c r="CZ73" s="11" t="s">
        <v>93</v>
      </c>
      <c r="DA73" s="11">
        <v>1</v>
      </c>
      <c r="DB73" s="11" t="s">
        <v>215</v>
      </c>
      <c r="DC73" s="11">
        <v>0.79</v>
      </c>
      <c r="DD73" s="11">
        <v>240</v>
      </c>
      <c r="DE73" s="11">
        <v>735</v>
      </c>
      <c r="DF73" s="11">
        <v>109</v>
      </c>
      <c r="DG73" s="11">
        <v>5461</v>
      </c>
      <c r="DH73" s="11">
        <v>4.3999999999999997E-2</v>
      </c>
      <c r="DI73" s="11">
        <v>3.06</v>
      </c>
      <c r="DJ73" s="11">
        <v>630</v>
      </c>
      <c r="DK73" s="11">
        <v>12.71</v>
      </c>
      <c r="DL73" s="11" t="s">
        <v>95</v>
      </c>
      <c r="DM73" s="11">
        <v>23</v>
      </c>
      <c r="DN73" s="11">
        <v>4</v>
      </c>
      <c r="DO73" s="11">
        <v>0.5</v>
      </c>
      <c r="DP73" s="11">
        <v>1</v>
      </c>
      <c r="DQ73" s="11">
        <v>1</v>
      </c>
      <c r="DR73" s="11">
        <v>1</v>
      </c>
      <c r="DS73" s="11">
        <v>0.5</v>
      </c>
      <c r="DT73" s="11">
        <v>0.5</v>
      </c>
      <c r="DU73" s="11">
        <v>0</v>
      </c>
      <c r="DV73" s="11">
        <v>354</v>
      </c>
      <c r="DW73" s="11">
        <v>63</v>
      </c>
      <c r="DX73" s="11">
        <v>2</v>
      </c>
      <c r="DY73" s="11"/>
      <c r="DZ73" s="11"/>
      <c r="EA73" s="11"/>
      <c r="EB73" s="11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3</v>
      </c>
      <c r="EL73" s="6">
        <v>0</v>
      </c>
      <c r="EM73" s="6">
        <v>0</v>
      </c>
      <c r="EN73" s="6">
        <v>2</v>
      </c>
      <c r="EO73" s="6">
        <v>0</v>
      </c>
      <c r="EP73" s="6">
        <v>1</v>
      </c>
      <c r="EQ73" s="6">
        <v>0</v>
      </c>
      <c r="ER73" s="6">
        <v>0</v>
      </c>
      <c r="ES73" s="6">
        <v>0</v>
      </c>
      <c r="ET73" s="6">
        <v>0</v>
      </c>
      <c r="EU73" s="11"/>
      <c r="EV73" s="4"/>
      <c r="EW73" s="4"/>
      <c r="EX73" s="4"/>
    </row>
    <row r="74" spans="1:154" s="5" customFormat="1" ht="15.75" customHeight="1">
      <c r="A74" s="12">
        <v>79</v>
      </c>
      <c r="B74" s="12">
        <v>7042611</v>
      </c>
      <c r="C74" s="12" t="s">
        <v>205</v>
      </c>
      <c r="D74" s="12" t="s">
        <v>206</v>
      </c>
      <c r="E74" s="12">
        <v>3722371</v>
      </c>
      <c r="F74" s="12">
        <v>6727384</v>
      </c>
      <c r="G74" s="12">
        <v>4.22</v>
      </c>
      <c r="H74" s="12">
        <v>36.9</v>
      </c>
      <c r="I74" s="12">
        <v>11.9</v>
      </c>
      <c r="J74" s="12">
        <v>208</v>
      </c>
      <c r="K74" s="12">
        <v>4.84</v>
      </c>
      <c r="L74" s="12">
        <v>70.599999999999994</v>
      </c>
      <c r="M74" s="12">
        <v>0.64</v>
      </c>
      <c r="N74" s="12">
        <v>9.4</v>
      </c>
      <c r="O74" s="12">
        <v>0.11</v>
      </c>
      <c r="P74" s="12">
        <v>1.57</v>
      </c>
      <c r="Q74" s="12">
        <v>0.06</v>
      </c>
      <c r="R74" s="12">
        <v>0.85</v>
      </c>
      <c r="S74" s="12">
        <v>1.21</v>
      </c>
      <c r="T74" s="12">
        <v>17.579999999999998</v>
      </c>
      <c r="U74" s="12">
        <v>1513</v>
      </c>
      <c r="V74" s="12">
        <v>14.9</v>
      </c>
      <c r="W74" s="28">
        <f t="shared" si="36"/>
        <v>225.43700000000001</v>
      </c>
      <c r="X74" s="12">
        <v>84.4</v>
      </c>
      <c r="Y74" s="28">
        <f t="shared" si="43"/>
        <v>1276.9720000000002</v>
      </c>
      <c r="Z74" s="12">
        <v>11</v>
      </c>
      <c r="AA74" s="28">
        <f t="shared" si="44"/>
        <v>166.43</v>
      </c>
      <c r="AB74" s="12">
        <v>4.8</v>
      </c>
      <c r="AC74" s="28">
        <f t="shared" si="45"/>
        <v>72.623999999999995</v>
      </c>
      <c r="AD74" s="12">
        <v>6</v>
      </c>
      <c r="AE74" s="29">
        <f t="shared" si="46"/>
        <v>90.78</v>
      </c>
      <c r="AF74" s="30">
        <v>0.17</v>
      </c>
      <c r="AG74" s="29">
        <f t="shared" si="47"/>
        <v>2.5721000000000003</v>
      </c>
      <c r="AH74" s="12">
        <v>60.3</v>
      </c>
      <c r="AI74" s="28">
        <f t="shared" si="37"/>
        <v>912.33899999999994</v>
      </c>
      <c r="AJ74" s="12">
        <v>69.900000000000006</v>
      </c>
      <c r="AK74" s="28">
        <f t="shared" si="38"/>
        <v>637.72496100000001</v>
      </c>
      <c r="AL74" s="12">
        <v>22.1</v>
      </c>
      <c r="AM74" s="28">
        <f t="shared" si="48"/>
        <v>140.93721638100001</v>
      </c>
      <c r="AN74" s="12">
        <v>65.599999999999994</v>
      </c>
      <c r="AO74" s="28">
        <f t="shared" si="49"/>
        <v>418.34757441599999</v>
      </c>
      <c r="AP74" s="12">
        <v>12.1</v>
      </c>
      <c r="AQ74" s="28">
        <f t="shared" si="50"/>
        <v>77.164720281000001</v>
      </c>
      <c r="AR74" s="12">
        <v>0.18</v>
      </c>
      <c r="AS74" s="28">
        <f t="shared" si="51"/>
        <v>1.1479049297999999</v>
      </c>
      <c r="AT74" s="12">
        <v>25.3</v>
      </c>
      <c r="AU74" s="28">
        <f t="shared" si="39"/>
        <v>230.82176699999999</v>
      </c>
      <c r="AV74" s="12">
        <v>5.7</v>
      </c>
      <c r="AW74" s="28">
        <f t="shared" si="52"/>
        <v>13.156840719</v>
      </c>
      <c r="AX74" s="12">
        <v>23.2</v>
      </c>
      <c r="AY74" s="28">
        <f t="shared" si="53"/>
        <v>53.550649944</v>
      </c>
      <c r="AZ74" s="12">
        <v>3.3</v>
      </c>
      <c r="BA74" s="28">
        <f t="shared" si="54"/>
        <v>7.6171183109999996</v>
      </c>
      <c r="BB74" s="12">
        <v>13.9</v>
      </c>
      <c r="BC74" s="28">
        <f t="shared" si="55"/>
        <v>32.084225613000001</v>
      </c>
      <c r="BD74" s="12">
        <v>53.8</v>
      </c>
      <c r="BE74" s="28">
        <f t="shared" si="56"/>
        <v>124.18211064599998</v>
      </c>
      <c r="BF74" s="12">
        <v>0.27</v>
      </c>
      <c r="BG74" s="28">
        <f t="shared" si="40"/>
        <v>2.4633152999999997</v>
      </c>
      <c r="BH74" s="12">
        <v>0.5</v>
      </c>
      <c r="BI74" s="28">
        <f t="shared" si="41"/>
        <v>4.5616949999999994</v>
      </c>
      <c r="BJ74" s="12">
        <v>4</v>
      </c>
      <c r="BK74" s="28">
        <f t="shared" si="42"/>
        <v>36.493559999999995</v>
      </c>
      <c r="BL74" s="12">
        <v>10.1</v>
      </c>
      <c r="BM74" s="12"/>
      <c r="BN74" s="28">
        <f t="shared" si="57"/>
        <v>64.410221061000001</v>
      </c>
      <c r="BO74" s="12">
        <v>59.6</v>
      </c>
      <c r="BP74" s="12">
        <v>24.7</v>
      </c>
      <c r="BQ74" s="12">
        <v>19</v>
      </c>
      <c r="BR74" s="12">
        <v>29.3</v>
      </c>
      <c r="BS74" s="12">
        <v>17.100000000000001</v>
      </c>
      <c r="BT74" s="12">
        <v>14.6</v>
      </c>
      <c r="BU74" s="12">
        <v>52.3</v>
      </c>
      <c r="BV74" s="28">
        <f t="shared" si="58"/>
        <v>3335301.5460299999</v>
      </c>
      <c r="BW74" s="12">
        <v>31</v>
      </c>
      <c r="BX74" s="12">
        <v>20.2</v>
      </c>
      <c r="BY74" s="28">
        <f t="shared" si="59"/>
        <v>673730.91229805991</v>
      </c>
      <c r="BZ74" s="12">
        <v>11.2</v>
      </c>
      <c r="CA74" s="28">
        <f t="shared" si="60"/>
        <v>373553.7731553599</v>
      </c>
      <c r="CB74" s="12">
        <v>12.8</v>
      </c>
      <c r="CC74" s="28">
        <f t="shared" si="61"/>
        <v>426918.59789184004</v>
      </c>
      <c r="CD74" s="12">
        <v>21.1</v>
      </c>
      <c r="CE74" s="28">
        <f t="shared" si="62"/>
        <v>703748.62621233007</v>
      </c>
      <c r="CF74" s="12">
        <v>3.7</v>
      </c>
      <c r="CG74" s="28">
        <f t="shared" si="63"/>
        <v>123406.15720311001</v>
      </c>
      <c r="CH74" s="12">
        <v>16</v>
      </c>
      <c r="CI74" s="28">
        <f t="shared" si="64"/>
        <v>102.03599376</v>
      </c>
      <c r="CJ74" s="12">
        <v>17.8</v>
      </c>
      <c r="CK74" s="12">
        <v>23.4</v>
      </c>
      <c r="CL74" s="28">
        <f t="shared" si="65"/>
        <v>238764.22539839995</v>
      </c>
      <c r="CM74" s="12">
        <v>13.7</v>
      </c>
      <c r="CN74" s="28">
        <f t="shared" si="66"/>
        <v>13.978931145119997</v>
      </c>
      <c r="CO74" s="12">
        <v>45.1</v>
      </c>
      <c r="CP74" s="28">
        <f t="shared" si="67"/>
        <v>46.018233185760003</v>
      </c>
      <c r="CQ74" s="12">
        <v>20.399999999999999</v>
      </c>
      <c r="CR74" s="28">
        <f t="shared" si="68"/>
        <v>308.65199999999999</v>
      </c>
      <c r="CS74" s="12">
        <v>0.25</v>
      </c>
      <c r="CT74" s="28">
        <f t="shared" si="69"/>
        <v>3.7825000000000002</v>
      </c>
      <c r="CU74" s="27">
        <v>46009</v>
      </c>
      <c r="CV74" s="11">
        <v>1</v>
      </c>
      <c r="CW74" s="11">
        <v>77</v>
      </c>
      <c r="CX74" s="11">
        <v>2</v>
      </c>
      <c r="CY74" s="11">
        <v>1</v>
      </c>
      <c r="CZ74" s="11" t="s">
        <v>93</v>
      </c>
      <c r="DA74" s="11">
        <v>1</v>
      </c>
      <c r="DB74" s="11" t="s">
        <v>321</v>
      </c>
      <c r="DC74" s="11">
        <v>0.25</v>
      </c>
      <c r="DD74" s="11">
        <v>529</v>
      </c>
      <c r="DE74" s="11">
        <v>274</v>
      </c>
      <c r="DF74" s="11">
        <v>35</v>
      </c>
      <c r="DG74" s="11">
        <v>10899</v>
      </c>
      <c r="DH74" s="11">
        <v>4.9000000000000002E-2</v>
      </c>
      <c r="DI74" s="11">
        <v>0.52</v>
      </c>
      <c r="DJ74" s="11">
        <v>958</v>
      </c>
      <c r="DK74" s="11">
        <v>28.7</v>
      </c>
      <c r="DL74" s="11" t="s">
        <v>95</v>
      </c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>
        <v>0</v>
      </c>
      <c r="EC74" s="6">
        <v>0</v>
      </c>
      <c r="ED74" s="6">
        <v>1</v>
      </c>
      <c r="EE74" s="6">
        <v>0</v>
      </c>
      <c r="EF74" s="6">
        <v>0</v>
      </c>
      <c r="EG74" s="6">
        <v>1</v>
      </c>
      <c r="EH74" s="6">
        <v>1</v>
      </c>
      <c r="EI74" s="6">
        <v>0</v>
      </c>
      <c r="EJ74" s="6">
        <v>0</v>
      </c>
      <c r="EK74" s="6">
        <v>1</v>
      </c>
      <c r="EL74" s="6">
        <v>0</v>
      </c>
      <c r="EM74" s="6">
        <v>0</v>
      </c>
      <c r="EN74" s="6"/>
      <c r="EO74" s="6">
        <v>0</v>
      </c>
      <c r="EP74" s="6">
        <v>0</v>
      </c>
      <c r="EQ74" s="6">
        <v>0</v>
      </c>
      <c r="ER74" s="6">
        <v>0</v>
      </c>
      <c r="ES74" s="6">
        <v>1</v>
      </c>
      <c r="ET74" s="6">
        <v>0</v>
      </c>
      <c r="EU74" s="9" t="s">
        <v>322</v>
      </c>
      <c r="EV74" s="4"/>
      <c r="EW74" s="4"/>
      <c r="EX74" s="4"/>
    </row>
    <row r="75" spans="1:154" s="5" customFormat="1" ht="15.75" customHeight="1">
      <c r="A75" s="12">
        <v>37</v>
      </c>
      <c r="B75" s="12">
        <v>7040419</v>
      </c>
      <c r="C75" s="12" t="s">
        <v>207</v>
      </c>
      <c r="D75" s="12" t="s">
        <v>208</v>
      </c>
      <c r="E75" s="12">
        <v>1856579</v>
      </c>
      <c r="F75" s="12">
        <v>6739613</v>
      </c>
      <c r="G75" s="12">
        <v>4.28</v>
      </c>
      <c r="H75" s="12">
        <v>38.200000000000003</v>
      </c>
      <c r="I75" s="12">
        <v>12.9</v>
      </c>
      <c r="J75" s="12">
        <v>217</v>
      </c>
      <c r="K75" s="12">
        <v>4.13</v>
      </c>
      <c r="L75" s="12">
        <v>65.790000000000006</v>
      </c>
      <c r="M75" s="12">
        <v>0.52</v>
      </c>
      <c r="N75" s="12">
        <v>8.27</v>
      </c>
      <c r="O75" s="12">
        <v>0.17</v>
      </c>
      <c r="P75" s="12">
        <v>2.68</v>
      </c>
      <c r="Q75" s="12">
        <v>0.06</v>
      </c>
      <c r="R75" s="12">
        <v>0.91</v>
      </c>
      <c r="S75" s="12">
        <v>1.4</v>
      </c>
      <c r="T75" s="12">
        <v>22.35</v>
      </c>
      <c r="U75" s="12">
        <v>1818</v>
      </c>
      <c r="V75" s="12">
        <v>11.8</v>
      </c>
      <c r="W75" s="28">
        <f t="shared" si="36"/>
        <v>214.524</v>
      </c>
      <c r="X75" s="12">
        <v>25.1</v>
      </c>
      <c r="Y75" s="28">
        <f t="shared" si="43"/>
        <v>456.31800000000004</v>
      </c>
      <c r="Z75" s="12">
        <v>74</v>
      </c>
      <c r="AA75" s="28">
        <f t="shared" si="44"/>
        <v>1345.32</v>
      </c>
      <c r="AB75" s="12">
        <v>37.200000000000003</v>
      </c>
      <c r="AC75" s="28">
        <f t="shared" si="45"/>
        <v>676.29600000000005</v>
      </c>
      <c r="AD75" s="12">
        <v>33.4</v>
      </c>
      <c r="AE75" s="29">
        <f t="shared" si="46"/>
        <v>607.21199999999999</v>
      </c>
      <c r="AF75" s="30">
        <v>3.4</v>
      </c>
      <c r="AG75" s="29">
        <f t="shared" si="47"/>
        <v>61.811999999999998</v>
      </c>
      <c r="AH75" s="12">
        <v>72.2</v>
      </c>
      <c r="AI75" s="28">
        <f t="shared" si="37"/>
        <v>1312.596</v>
      </c>
      <c r="AJ75" s="12">
        <v>48</v>
      </c>
      <c r="AK75" s="28">
        <f t="shared" si="38"/>
        <v>630.04607999999996</v>
      </c>
      <c r="AL75" s="12">
        <v>41.4</v>
      </c>
      <c r="AM75" s="28">
        <f t="shared" si="48"/>
        <v>260.83907711999996</v>
      </c>
      <c r="AN75" s="12">
        <v>40.700000000000003</v>
      </c>
      <c r="AO75" s="28">
        <f t="shared" si="49"/>
        <v>256.42875456000002</v>
      </c>
      <c r="AP75" s="12">
        <v>16.7</v>
      </c>
      <c r="AQ75" s="28">
        <f t="shared" si="50"/>
        <v>105.21769535999999</v>
      </c>
      <c r="AR75" s="12">
        <v>1.1000000000000001</v>
      </c>
      <c r="AS75" s="28">
        <f t="shared" si="51"/>
        <v>6.9305068800000003</v>
      </c>
      <c r="AT75" s="12">
        <v>49.9</v>
      </c>
      <c r="AU75" s="28">
        <f t="shared" si="39"/>
        <v>654.98540400000002</v>
      </c>
      <c r="AV75" s="12">
        <v>4.8</v>
      </c>
      <c r="AW75" s="28">
        <f t="shared" si="52"/>
        <v>31.439299391999999</v>
      </c>
      <c r="AX75" s="12">
        <v>26.8</v>
      </c>
      <c r="AY75" s="28">
        <f t="shared" si="53"/>
        <v>175.53608827200003</v>
      </c>
      <c r="AZ75" s="12">
        <v>4.0999999999999996</v>
      </c>
      <c r="BA75" s="28">
        <f t="shared" si="54"/>
        <v>26.854401564</v>
      </c>
      <c r="BB75" s="12">
        <v>8.6999999999999993</v>
      </c>
      <c r="BC75" s="28">
        <f t="shared" si="55"/>
        <v>56.983730147999992</v>
      </c>
      <c r="BD75" s="12">
        <v>55.6</v>
      </c>
      <c r="BE75" s="28">
        <f t="shared" si="56"/>
        <v>364.17188462400003</v>
      </c>
      <c r="BF75" s="12">
        <v>0.16</v>
      </c>
      <c r="BG75" s="28">
        <f t="shared" si="40"/>
        <v>2.1001536000000001</v>
      </c>
      <c r="BH75" s="12">
        <v>0.38</v>
      </c>
      <c r="BI75" s="28">
        <f t="shared" si="41"/>
        <v>4.9878647999999997</v>
      </c>
      <c r="BJ75" s="12">
        <v>1.5</v>
      </c>
      <c r="BK75" s="28">
        <f t="shared" si="42"/>
        <v>19.688939999999999</v>
      </c>
      <c r="BL75" s="12">
        <v>8.1</v>
      </c>
      <c r="BM75" s="12"/>
      <c r="BN75" s="28">
        <f t="shared" si="57"/>
        <v>51.033732479999998</v>
      </c>
      <c r="BO75" s="12">
        <v>59.9</v>
      </c>
      <c r="BP75" s="12">
        <v>22.5</v>
      </c>
      <c r="BQ75" s="12">
        <v>14.7</v>
      </c>
      <c r="BR75" s="12">
        <v>20.399999999999999</v>
      </c>
      <c r="BS75" s="12">
        <v>16.5</v>
      </c>
      <c r="BT75" s="12">
        <v>8.3000000000000007</v>
      </c>
      <c r="BU75" s="12">
        <v>41</v>
      </c>
      <c r="BV75" s="28">
        <f t="shared" si="58"/>
        <v>2583188.9279999998</v>
      </c>
      <c r="BW75" s="12">
        <v>23.4</v>
      </c>
      <c r="BX75" s="12">
        <v>21.3</v>
      </c>
      <c r="BY75" s="28">
        <f t="shared" si="59"/>
        <v>550219.24166399997</v>
      </c>
      <c r="BZ75" s="12">
        <v>34.700000000000003</v>
      </c>
      <c r="CA75" s="28">
        <f t="shared" si="60"/>
        <v>896366.55801600008</v>
      </c>
      <c r="CB75" s="12">
        <v>9.1999999999999993</v>
      </c>
      <c r="CC75" s="28">
        <f t="shared" si="61"/>
        <v>237653.38137599998</v>
      </c>
      <c r="CD75" s="12">
        <v>7.6</v>
      </c>
      <c r="CE75" s="28">
        <f t="shared" si="62"/>
        <v>196322.35852799995</v>
      </c>
      <c r="CF75" s="12">
        <v>3.8</v>
      </c>
      <c r="CG75" s="28">
        <f t="shared" si="63"/>
        <v>98161.179263999977</v>
      </c>
      <c r="CH75" s="12">
        <v>7.7</v>
      </c>
      <c r="CI75" s="28">
        <f t="shared" si="64"/>
        <v>48.513548159999999</v>
      </c>
      <c r="CJ75" s="12">
        <v>12.2</v>
      </c>
      <c r="CK75" s="12">
        <v>29.2</v>
      </c>
      <c r="CL75" s="28">
        <f t="shared" si="65"/>
        <v>141659.5606272</v>
      </c>
      <c r="CM75" s="12">
        <v>13.3</v>
      </c>
      <c r="CN75" s="28">
        <f t="shared" si="66"/>
        <v>6.4523019052799997</v>
      </c>
      <c r="CO75" s="12">
        <v>45.3</v>
      </c>
      <c r="CP75" s="28">
        <f t="shared" si="67"/>
        <v>21.976637316479994</v>
      </c>
      <c r="CQ75" s="12">
        <v>11.1</v>
      </c>
      <c r="CR75" s="28">
        <f t="shared" si="68"/>
        <v>201.798</v>
      </c>
      <c r="CS75" s="12">
        <v>0.3</v>
      </c>
      <c r="CT75" s="28">
        <f t="shared" si="69"/>
        <v>5.4539999999999997</v>
      </c>
      <c r="CU75" s="27">
        <v>45897</v>
      </c>
      <c r="CV75" s="11">
        <v>0</v>
      </c>
      <c r="CW75" s="11">
        <v>76</v>
      </c>
      <c r="CX75" s="11">
        <v>2</v>
      </c>
      <c r="CY75" s="11">
        <v>1</v>
      </c>
      <c r="CZ75" s="11" t="s">
        <v>93</v>
      </c>
      <c r="DA75" s="11">
        <v>1</v>
      </c>
      <c r="DB75" s="11" t="s">
        <v>323</v>
      </c>
      <c r="DC75" s="11">
        <v>0.78</v>
      </c>
      <c r="DD75" s="11">
        <v>724</v>
      </c>
      <c r="DE75" s="11">
        <v>874</v>
      </c>
      <c r="DF75" s="11">
        <v>137</v>
      </c>
      <c r="DG75" s="11">
        <v>17570</v>
      </c>
      <c r="DH75" s="11">
        <v>4.1000000000000002E-2</v>
      </c>
      <c r="DI75" s="11">
        <v>1.21</v>
      </c>
      <c r="DJ75" s="11">
        <v>1166</v>
      </c>
      <c r="DK75" s="11">
        <v>20.5</v>
      </c>
      <c r="DL75" s="11" t="s">
        <v>96</v>
      </c>
      <c r="DM75" s="11">
        <v>27</v>
      </c>
      <c r="DN75" s="11">
        <v>1</v>
      </c>
      <c r="DO75" s="11">
        <v>0.5</v>
      </c>
      <c r="DP75" s="11">
        <v>0.5</v>
      </c>
      <c r="DQ75" s="11">
        <v>0</v>
      </c>
      <c r="DR75" s="11">
        <v>0.5</v>
      </c>
      <c r="DS75" s="11">
        <v>0</v>
      </c>
      <c r="DT75" s="11">
        <v>0</v>
      </c>
      <c r="DU75" s="11">
        <v>0</v>
      </c>
      <c r="DV75" s="11">
        <v>370</v>
      </c>
      <c r="DW75" s="11">
        <v>67</v>
      </c>
      <c r="DX75" s="11"/>
      <c r="DY75" s="11"/>
      <c r="DZ75" s="11"/>
      <c r="EA75" s="11"/>
      <c r="EB75" s="11">
        <v>0</v>
      </c>
      <c r="EC75" s="6">
        <v>1</v>
      </c>
      <c r="ED75" s="6">
        <v>1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3</v>
      </c>
      <c r="EL75" s="6">
        <v>1</v>
      </c>
      <c r="EM75" s="6">
        <v>1</v>
      </c>
      <c r="EN75" s="6">
        <v>2</v>
      </c>
      <c r="EO75" s="6">
        <v>0</v>
      </c>
      <c r="EP75" s="6">
        <v>1</v>
      </c>
      <c r="EQ75" s="6">
        <v>1</v>
      </c>
      <c r="ER75" s="6">
        <v>0</v>
      </c>
      <c r="ES75" s="6">
        <v>0</v>
      </c>
      <c r="ET75" s="6">
        <v>0</v>
      </c>
      <c r="EU75" s="11"/>
      <c r="EV75" s="4"/>
      <c r="EW75" s="4"/>
      <c r="EX75" s="4"/>
    </row>
    <row r="76" spans="1:154" s="5" customFormat="1" ht="15.75" customHeight="1">
      <c r="A76" s="12">
        <v>9</v>
      </c>
      <c r="B76" s="12">
        <v>7039296</v>
      </c>
      <c r="C76" s="12" t="s">
        <v>209</v>
      </c>
      <c r="D76" s="12" t="s">
        <v>210</v>
      </c>
      <c r="E76" s="12">
        <v>405668</v>
      </c>
      <c r="F76" s="12">
        <v>6762494</v>
      </c>
      <c r="G76" s="12">
        <v>4.72</v>
      </c>
      <c r="H76" s="12">
        <v>45.5</v>
      </c>
      <c r="I76" s="12">
        <v>15.2</v>
      </c>
      <c r="J76" s="12">
        <v>206</v>
      </c>
      <c r="K76" s="12">
        <v>3.7</v>
      </c>
      <c r="L76" s="12">
        <v>51.74</v>
      </c>
      <c r="M76" s="12">
        <v>0.74</v>
      </c>
      <c r="N76" s="12">
        <v>10.38</v>
      </c>
      <c r="O76" s="12">
        <v>0.11</v>
      </c>
      <c r="P76" s="12">
        <v>1.57</v>
      </c>
      <c r="Q76" s="12">
        <v>0.04</v>
      </c>
      <c r="R76" s="12">
        <v>0.54</v>
      </c>
      <c r="S76" s="12">
        <v>2.56</v>
      </c>
      <c r="T76" s="12">
        <v>35.770000000000003</v>
      </c>
      <c r="U76" s="12">
        <v>2858</v>
      </c>
      <c r="V76" s="12">
        <v>13.8</v>
      </c>
      <c r="W76" s="28">
        <f t="shared" si="36"/>
        <v>394.404</v>
      </c>
      <c r="X76" s="12">
        <v>64.8</v>
      </c>
      <c r="Y76" s="28">
        <f t="shared" si="43"/>
        <v>1851.9839999999999</v>
      </c>
      <c r="Z76" s="12">
        <v>34.4</v>
      </c>
      <c r="AA76" s="28">
        <f t="shared" si="44"/>
        <v>983.15199999999993</v>
      </c>
      <c r="AB76" s="12">
        <v>16.8</v>
      </c>
      <c r="AC76" s="28">
        <f t="shared" si="45"/>
        <v>480.14400000000001</v>
      </c>
      <c r="AD76" s="12">
        <v>17.600000000000001</v>
      </c>
      <c r="AE76" s="29">
        <f t="shared" si="46"/>
        <v>503.00800000000004</v>
      </c>
      <c r="AF76" s="30"/>
      <c r="AG76" s="30"/>
      <c r="AH76" s="12">
        <v>65.2</v>
      </c>
      <c r="AI76" s="28">
        <f t="shared" si="37"/>
        <v>1863.4160000000002</v>
      </c>
      <c r="AJ76" s="12">
        <v>65.599999999999994</v>
      </c>
      <c r="AK76" s="28">
        <f t="shared" si="38"/>
        <v>1222.4008960000001</v>
      </c>
      <c r="AL76" s="12">
        <v>27.1</v>
      </c>
      <c r="AM76" s="28">
        <f t="shared" si="48"/>
        <v>331.27064281600002</v>
      </c>
      <c r="AN76" s="12">
        <v>65.3</v>
      </c>
      <c r="AO76" s="28">
        <f t="shared" si="49"/>
        <v>798.22778508800013</v>
      </c>
      <c r="AP76" s="12">
        <v>7.5</v>
      </c>
      <c r="AQ76" s="28">
        <f t="shared" si="50"/>
        <v>91.680067200000011</v>
      </c>
      <c r="AR76" s="12">
        <v>8.6999999999999994E-2</v>
      </c>
      <c r="AS76" s="28">
        <f t="shared" si="51"/>
        <v>1.0634887795199999</v>
      </c>
      <c r="AT76" s="12">
        <v>25.7</v>
      </c>
      <c r="AU76" s="28">
        <f t="shared" si="39"/>
        <v>478.89791200000002</v>
      </c>
      <c r="AV76" s="12">
        <v>13.7</v>
      </c>
      <c r="AW76" s="28">
        <f t="shared" si="52"/>
        <v>65.609013943999997</v>
      </c>
      <c r="AX76" s="12">
        <v>69.599999999999994</v>
      </c>
      <c r="AY76" s="28">
        <f t="shared" si="53"/>
        <v>333.31294675200002</v>
      </c>
      <c r="AZ76" s="12">
        <v>5.5</v>
      </c>
      <c r="BA76" s="28">
        <f t="shared" si="54"/>
        <v>26.339385160000003</v>
      </c>
      <c r="BB76" s="12">
        <v>3</v>
      </c>
      <c r="BC76" s="28">
        <f t="shared" si="55"/>
        <v>14.366937360000001</v>
      </c>
      <c r="BD76" s="12">
        <v>8.1999999999999993</v>
      </c>
      <c r="BE76" s="28">
        <f t="shared" si="56"/>
        <v>39.269628783999998</v>
      </c>
      <c r="BF76" s="12">
        <v>0.09</v>
      </c>
      <c r="BG76" s="28">
        <f t="shared" si="40"/>
        <v>1.6770744000000002</v>
      </c>
      <c r="BH76" s="12">
        <v>7</v>
      </c>
      <c r="BI76" s="28">
        <f t="shared" si="41"/>
        <v>130.43912</v>
      </c>
      <c r="BJ76" s="12">
        <v>1.6</v>
      </c>
      <c r="BK76" s="28">
        <f t="shared" si="42"/>
        <v>29.814656000000003</v>
      </c>
      <c r="BL76" s="12"/>
      <c r="BM76" s="12"/>
      <c r="BN76" s="28"/>
      <c r="BO76" s="12"/>
      <c r="BP76" s="12"/>
      <c r="BQ76" s="12"/>
      <c r="BR76" s="12"/>
      <c r="BS76" s="12"/>
      <c r="BT76" s="12"/>
      <c r="BU76" s="12"/>
      <c r="BV76" s="28"/>
      <c r="BW76" s="12"/>
      <c r="BX76" s="12"/>
      <c r="BY76" s="28"/>
      <c r="BZ76" s="12"/>
      <c r="CA76" s="28"/>
      <c r="CB76" s="12"/>
      <c r="CC76" s="28"/>
      <c r="CD76" s="12"/>
      <c r="CE76" s="28"/>
      <c r="CF76" s="12"/>
      <c r="CG76" s="28"/>
      <c r="CH76" s="12"/>
      <c r="CI76" s="12"/>
      <c r="CJ76" s="12"/>
      <c r="CK76" s="12"/>
      <c r="CL76" s="12"/>
      <c r="CM76" s="12"/>
      <c r="CN76" s="12"/>
      <c r="CO76" s="12"/>
      <c r="CP76" s="12"/>
      <c r="CQ76" s="12">
        <v>17.100000000000001</v>
      </c>
      <c r="CR76" s="28">
        <f t="shared" si="68"/>
        <v>488.71800000000002</v>
      </c>
      <c r="CS76" s="12">
        <v>0</v>
      </c>
      <c r="CT76" s="28">
        <f t="shared" si="69"/>
        <v>0</v>
      </c>
      <c r="CU76" s="27">
        <v>45831</v>
      </c>
      <c r="CV76" s="11">
        <v>1</v>
      </c>
      <c r="CW76" s="11">
        <v>76</v>
      </c>
      <c r="CX76" s="11">
        <v>3</v>
      </c>
      <c r="CY76" s="11">
        <v>2</v>
      </c>
      <c r="CZ76" s="11" t="s">
        <v>283</v>
      </c>
      <c r="DA76" s="11">
        <v>0</v>
      </c>
      <c r="DB76" s="11" t="s">
        <v>324</v>
      </c>
      <c r="DC76" s="11">
        <v>0.08</v>
      </c>
      <c r="DD76" s="11">
        <v>1074</v>
      </c>
      <c r="DE76" s="11">
        <v>222</v>
      </c>
      <c r="DF76" s="11">
        <v>30</v>
      </c>
      <c r="DG76" s="11">
        <v>12352</v>
      </c>
      <c r="DH76" s="11">
        <v>8.6999999999999994E-2</v>
      </c>
      <c r="DI76" s="11">
        <v>0.21</v>
      </c>
      <c r="DJ76" s="11">
        <v>720</v>
      </c>
      <c r="DK76" s="11">
        <v>22.29</v>
      </c>
      <c r="DL76" s="11" t="s">
        <v>95</v>
      </c>
      <c r="DM76" s="11">
        <v>25</v>
      </c>
      <c r="DN76" s="11">
        <v>3</v>
      </c>
      <c r="DO76" s="11">
        <v>0.5</v>
      </c>
      <c r="DP76" s="11">
        <v>1</v>
      </c>
      <c r="DQ76" s="11">
        <v>0.5</v>
      </c>
      <c r="DR76" s="11">
        <v>0.5</v>
      </c>
      <c r="DS76" s="11">
        <v>0.5</v>
      </c>
      <c r="DT76" s="11">
        <v>0.5</v>
      </c>
      <c r="DU76" s="11">
        <v>0</v>
      </c>
      <c r="DV76" s="11">
        <v>376</v>
      </c>
      <c r="DW76" s="11">
        <v>68</v>
      </c>
      <c r="DX76" s="11">
        <v>2</v>
      </c>
      <c r="DY76" s="11"/>
      <c r="DZ76" s="11"/>
      <c r="EA76" s="11"/>
      <c r="EB76" s="11">
        <v>0</v>
      </c>
      <c r="EC76" s="6">
        <v>1</v>
      </c>
      <c r="ED76" s="6">
        <v>1</v>
      </c>
      <c r="EE76" s="6">
        <v>0</v>
      </c>
      <c r="EF76" s="6">
        <v>0</v>
      </c>
      <c r="EG76" s="6">
        <v>0</v>
      </c>
      <c r="EH76" s="6">
        <v>1</v>
      </c>
      <c r="EI76" s="6">
        <v>1</v>
      </c>
      <c r="EJ76" s="6">
        <v>0</v>
      </c>
      <c r="EK76" s="6">
        <v>3</v>
      </c>
      <c r="EL76" s="6">
        <v>0</v>
      </c>
      <c r="EM76" s="6">
        <v>0</v>
      </c>
      <c r="EN76" s="6">
        <v>2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9" t="s">
        <v>325</v>
      </c>
      <c r="EV76" s="4"/>
      <c r="EW76" s="4"/>
      <c r="EX76" s="4"/>
    </row>
    <row r="77" spans="1:154" s="5" customFormat="1" ht="15.75" customHeight="1">
      <c r="A77" s="12">
        <v>21</v>
      </c>
      <c r="B77" s="12">
        <v>7039735</v>
      </c>
      <c r="C77" s="12" t="s">
        <v>211</v>
      </c>
      <c r="D77" s="12" t="s">
        <v>212</v>
      </c>
      <c r="E77" s="12">
        <v>3197828</v>
      </c>
      <c r="F77" s="12">
        <v>6896335</v>
      </c>
      <c r="G77" s="12">
        <v>4.4400000000000004</v>
      </c>
      <c r="H77" s="12">
        <v>38.6</v>
      </c>
      <c r="I77" s="12">
        <v>12.6</v>
      </c>
      <c r="J77" s="12">
        <v>144</v>
      </c>
      <c r="K77" s="12">
        <v>3.31</v>
      </c>
      <c r="L77" s="12">
        <v>65.569999999999993</v>
      </c>
      <c r="M77" s="12">
        <v>0.53</v>
      </c>
      <c r="N77" s="12">
        <v>10.42</v>
      </c>
      <c r="O77" s="12">
        <v>0.2</v>
      </c>
      <c r="P77" s="12">
        <v>3.88</v>
      </c>
      <c r="Q77" s="12">
        <v>0.04</v>
      </c>
      <c r="R77" s="12">
        <v>0.73</v>
      </c>
      <c r="S77" s="12">
        <v>0.98</v>
      </c>
      <c r="T77" s="12">
        <v>19.399999999999999</v>
      </c>
      <c r="U77" s="12">
        <v>1126</v>
      </c>
      <c r="V77" s="12">
        <v>4.5999999999999996</v>
      </c>
      <c r="W77" s="28">
        <f t="shared" si="36"/>
        <v>51.795999999999992</v>
      </c>
      <c r="X77" s="12">
        <v>48.9</v>
      </c>
      <c r="Y77" s="28">
        <f t="shared" si="43"/>
        <v>550.61400000000003</v>
      </c>
      <c r="Z77" s="12">
        <v>50.4</v>
      </c>
      <c r="AA77" s="28">
        <f t="shared" si="44"/>
        <v>567.50400000000002</v>
      </c>
      <c r="AB77" s="12">
        <v>45.3</v>
      </c>
      <c r="AC77" s="28">
        <f t="shared" si="45"/>
        <v>510.07799999999997</v>
      </c>
      <c r="AD77" s="12">
        <v>5.0999999999999996</v>
      </c>
      <c r="AE77" s="29">
        <f t="shared" si="46"/>
        <v>57.425999999999995</v>
      </c>
      <c r="AF77" s="30"/>
      <c r="AG77" s="30"/>
      <c r="AH77" s="12">
        <v>54.8</v>
      </c>
      <c r="AI77" s="28">
        <f t="shared" si="37"/>
        <v>617.048</v>
      </c>
      <c r="AJ77" s="12">
        <v>72.099999999999994</v>
      </c>
      <c r="AK77" s="28">
        <f t="shared" si="38"/>
        <v>444.89160799999996</v>
      </c>
      <c r="AL77" s="12">
        <v>36.799999999999997</v>
      </c>
      <c r="AM77" s="28">
        <f t="shared" si="48"/>
        <v>163.72011174399998</v>
      </c>
      <c r="AN77" s="12">
        <v>49.4</v>
      </c>
      <c r="AO77" s="28">
        <f t="shared" si="49"/>
        <v>219.77645435199997</v>
      </c>
      <c r="AP77" s="12">
        <v>8.6999999999999993</v>
      </c>
      <c r="AQ77" s="28">
        <f t="shared" si="50"/>
        <v>38.705569895999993</v>
      </c>
      <c r="AR77" s="12">
        <v>4</v>
      </c>
      <c r="AS77" s="28">
        <f t="shared" si="51"/>
        <v>17.79566432</v>
      </c>
      <c r="AT77" s="12">
        <v>20.8</v>
      </c>
      <c r="AU77" s="28">
        <f t="shared" si="39"/>
        <v>128.34598400000002</v>
      </c>
      <c r="AV77" s="12">
        <v>5</v>
      </c>
      <c r="AW77" s="28">
        <f t="shared" si="52"/>
        <v>6.4172992000000013</v>
      </c>
      <c r="AX77" s="12">
        <v>39.9</v>
      </c>
      <c r="AY77" s="28">
        <f t="shared" si="53"/>
        <v>51.210047616000004</v>
      </c>
      <c r="AZ77" s="12">
        <v>5.6</v>
      </c>
      <c r="BA77" s="28">
        <f t="shared" si="54"/>
        <v>7.187375104</v>
      </c>
      <c r="BB77" s="12">
        <v>11.6</v>
      </c>
      <c r="BC77" s="28">
        <f t="shared" si="55"/>
        <v>14.888134144</v>
      </c>
      <c r="BD77" s="12">
        <v>36.9</v>
      </c>
      <c r="BE77" s="28">
        <f t="shared" si="56"/>
        <v>47.359668096000007</v>
      </c>
      <c r="BF77" s="12">
        <v>0.74</v>
      </c>
      <c r="BG77" s="28">
        <f t="shared" si="40"/>
        <v>4.5661551999999999</v>
      </c>
      <c r="BH77" s="12">
        <v>0.26</v>
      </c>
      <c r="BI77" s="28">
        <f t="shared" si="41"/>
        <v>1.6043247999999999</v>
      </c>
      <c r="BJ77" s="12">
        <v>6.1</v>
      </c>
      <c r="BK77" s="28">
        <f t="shared" si="42"/>
        <v>37.639927999999998</v>
      </c>
      <c r="BL77" s="12">
        <v>5.8</v>
      </c>
      <c r="BM77" s="12"/>
      <c r="BN77" s="28">
        <f t="shared" si="57"/>
        <v>25.803713263999999</v>
      </c>
      <c r="BO77" s="12">
        <v>46.2</v>
      </c>
      <c r="BP77" s="12">
        <v>26.2</v>
      </c>
      <c r="BQ77" s="12">
        <v>17</v>
      </c>
      <c r="BR77" s="12">
        <v>28.7</v>
      </c>
      <c r="BS77" s="12">
        <v>10.5</v>
      </c>
      <c r="BT77" s="12">
        <v>28.3</v>
      </c>
      <c r="BU77" s="12">
        <v>31.1</v>
      </c>
      <c r="BV77" s="28">
        <f t="shared" si="58"/>
        <v>1383612.9008799999</v>
      </c>
      <c r="BW77" s="12">
        <v>17.100000000000001</v>
      </c>
      <c r="BX77" s="12">
        <v>16.899999999999999</v>
      </c>
      <c r="BY77" s="28">
        <f t="shared" si="59"/>
        <v>233830.58024871993</v>
      </c>
      <c r="BZ77" s="12">
        <v>33.1</v>
      </c>
      <c r="CA77" s="28">
        <f t="shared" si="60"/>
        <v>457975.87019127997</v>
      </c>
      <c r="CB77" s="12">
        <v>23.1</v>
      </c>
      <c r="CC77" s="28">
        <f t="shared" si="61"/>
        <v>319614.58010327996</v>
      </c>
      <c r="CD77" s="12">
        <v>8.6999999999999993</v>
      </c>
      <c r="CE77" s="28">
        <f t="shared" si="62"/>
        <v>120374.32237655997</v>
      </c>
      <c r="CF77" s="12">
        <v>1.1000000000000001</v>
      </c>
      <c r="CG77" s="28">
        <f t="shared" si="63"/>
        <v>15219.741909679999</v>
      </c>
      <c r="CH77" s="12">
        <v>10.4</v>
      </c>
      <c r="CI77" s="28">
        <f t="shared" si="64"/>
        <v>46.268727232000003</v>
      </c>
      <c r="CJ77" s="12">
        <v>12.9</v>
      </c>
      <c r="CK77" s="12">
        <v>41.7</v>
      </c>
      <c r="CL77" s="28">
        <f t="shared" si="65"/>
        <v>192940.59255744002</v>
      </c>
      <c r="CM77" s="12">
        <v>18.2</v>
      </c>
      <c r="CN77" s="28">
        <f t="shared" si="66"/>
        <v>8.4209083562240004</v>
      </c>
      <c r="CO77" s="12">
        <v>27.2</v>
      </c>
      <c r="CP77" s="28">
        <f t="shared" si="67"/>
        <v>12.585093807104002</v>
      </c>
      <c r="CQ77" s="12">
        <v>30.2</v>
      </c>
      <c r="CR77" s="28">
        <f t="shared" si="68"/>
        <v>340.05199999999996</v>
      </c>
      <c r="CS77" s="12">
        <v>0</v>
      </c>
      <c r="CT77" s="28">
        <f t="shared" si="69"/>
        <v>0</v>
      </c>
      <c r="CU77" s="27">
        <v>45855</v>
      </c>
      <c r="CV77" s="11">
        <v>0</v>
      </c>
      <c r="CW77" s="11">
        <v>71</v>
      </c>
      <c r="CX77" s="11">
        <v>2</v>
      </c>
      <c r="CY77" s="11">
        <v>1</v>
      </c>
      <c r="CZ77" s="11" t="s">
        <v>93</v>
      </c>
      <c r="DA77" s="11">
        <v>1</v>
      </c>
      <c r="DB77" s="11" t="s">
        <v>103</v>
      </c>
      <c r="DC77" s="11">
        <v>0.28999999999999998</v>
      </c>
      <c r="DD77" s="11">
        <v>608</v>
      </c>
      <c r="DE77" s="11">
        <v>424</v>
      </c>
      <c r="DF77" s="11">
        <v>51</v>
      </c>
      <c r="DG77" s="11">
        <v>12621</v>
      </c>
      <c r="DH77" s="11">
        <v>4.8000000000000001E-2</v>
      </c>
      <c r="DI77" s="11">
        <v>0.7</v>
      </c>
      <c r="DJ77" s="11">
        <v>869</v>
      </c>
      <c r="DK77" s="11">
        <v>15.92</v>
      </c>
      <c r="DL77" s="11" t="s">
        <v>95</v>
      </c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>
        <v>1</v>
      </c>
      <c r="DY77" s="11"/>
      <c r="DZ77" s="11"/>
      <c r="EA77" s="11"/>
      <c r="EB77" s="11">
        <v>1</v>
      </c>
      <c r="EC77" s="6">
        <v>1</v>
      </c>
      <c r="ED77" s="6">
        <v>1</v>
      </c>
      <c r="EE77" s="6">
        <v>0</v>
      </c>
      <c r="EF77" s="6">
        <v>0</v>
      </c>
      <c r="EG77" s="6">
        <v>0</v>
      </c>
      <c r="EH77" s="6">
        <v>1</v>
      </c>
      <c r="EI77" s="6">
        <v>0</v>
      </c>
      <c r="EJ77" s="6">
        <v>0</v>
      </c>
      <c r="EK77" s="6">
        <v>2</v>
      </c>
      <c r="EL77" s="6">
        <v>1</v>
      </c>
      <c r="EM77" s="6">
        <v>0</v>
      </c>
      <c r="EN77" s="6">
        <v>2</v>
      </c>
      <c r="EO77" s="6">
        <v>1</v>
      </c>
      <c r="EP77" s="6">
        <v>0</v>
      </c>
      <c r="EQ77" s="6">
        <v>1</v>
      </c>
      <c r="ER77" s="6">
        <v>0</v>
      </c>
      <c r="ES77" s="6">
        <v>0</v>
      </c>
      <c r="ET77" s="6">
        <v>0</v>
      </c>
      <c r="EU77" s="9" t="s">
        <v>326</v>
      </c>
      <c r="EV77" s="4"/>
      <c r="EW77" s="4"/>
      <c r="EX77" s="4"/>
    </row>
    <row r="78" spans="1:154" s="5" customFormat="1" ht="15.75" customHeight="1">
      <c r="A78" s="12">
        <v>69</v>
      </c>
      <c r="B78" s="12">
        <v>7042216</v>
      </c>
      <c r="C78" s="12" t="s">
        <v>236</v>
      </c>
      <c r="D78" s="12" t="s">
        <v>237</v>
      </c>
      <c r="E78" s="12">
        <v>13115603</v>
      </c>
      <c r="F78" s="12">
        <v>6938433</v>
      </c>
      <c r="G78" s="12">
        <v>4.6900000000000004</v>
      </c>
      <c r="H78" s="12">
        <v>44.2</v>
      </c>
      <c r="I78" s="12">
        <v>14.7</v>
      </c>
      <c r="J78" s="12">
        <v>180</v>
      </c>
      <c r="K78" s="12">
        <v>2.89</v>
      </c>
      <c r="L78" s="12">
        <v>42.01</v>
      </c>
      <c r="M78" s="12">
        <v>0.46</v>
      </c>
      <c r="N78" s="12">
        <v>6.73</v>
      </c>
      <c r="O78" s="12">
        <v>0.31</v>
      </c>
      <c r="P78" s="12">
        <v>4.5</v>
      </c>
      <c r="Q78" s="12">
        <v>0.02</v>
      </c>
      <c r="R78" s="12">
        <v>0.35</v>
      </c>
      <c r="S78" s="12">
        <v>3.19</v>
      </c>
      <c r="T78" s="12">
        <v>46.41</v>
      </c>
      <c r="U78" s="12">
        <v>3525</v>
      </c>
      <c r="V78" s="12">
        <v>11.7</v>
      </c>
      <c r="W78" s="28">
        <f t="shared" si="36"/>
        <v>412.42500000000001</v>
      </c>
      <c r="X78" s="12">
        <v>60.9</v>
      </c>
      <c r="Y78" s="28">
        <f t="shared" si="43"/>
        <v>2146.7249999999999</v>
      </c>
      <c r="Z78" s="12">
        <v>32.6</v>
      </c>
      <c r="AA78" s="28">
        <f t="shared" si="44"/>
        <v>1149.1500000000001</v>
      </c>
      <c r="AB78" s="12">
        <v>9.4</v>
      </c>
      <c r="AC78" s="28">
        <f t="shared" si="45"/>
        <v>331.35</v>
      </c>
      <c r="AD78" s="12">
        <v>22.8</v>
      </c>
      <c r="AE78" s="29">
        <f t="shared" si="46"/>
        <v>803.7</v>
      </c>
      <c r="AF78" s="30">
        <v>0.35</v>
      </c>
      <c r="AG78" s="29">
        <f t="shared" si="47"/>
        <v>12.3375</v>
      </c>
      <c r="AH78" s="12">
        <v>77.5</v>
      </c>
      <c r="AI78" s="28">
        <f t="shared" si="37"/>
        <v>2731.875</v>
      </c>
      <c r="AJ78" s="12">
        <v>69</v>
      </c>
      <c r="AK78" s="28">
        <f t="shared" si="38"/>
        <v>1884.9937500000001</v>
      </c>
      <c r="AL78" s="12">
        <v>33.200000000000003</v>
      </c>
      <c r="AM78" s="28">
        <f t="shared" si="48"/>
        <v>625.81792500000006</v>
      </c>
      <c r="AN78" s="12">
        <v>46.9</v>
      </c>
      <c r="AO78" s="28">
        <f t="shared" si="49"/>
        <v>884.06206874999998</v>
      </c>
      <c r="AP78" s="12">
        <v>18.3</v>
      </c>
      <c r="AQ78" s="28">
        <f t="shared" si="50"/>
        <v>344.95385625</v>
      </c>
      <c r="AR78" s="12">
        <v>1.6</v>
      </c>
      <c r="AS78" s="28">
        <f t="shared" si="51"/>
        <v>30.159900000000004</v>
      </c>
      <c r="AT78" s="12">
        <v>27.5</v>
      </c>
      <c r="AU78" s="28">
        <f t="shared" si="39"/>
        <v>751.265625</v>
      </c>
      <c r="AV78" s="12">
        <v>9.9</v>
      </c>
      <c r="AW78" s="28">
        <f t="shared" si="52"/>
        <v>74.375296875000004</v>
      </c>
      <c r="AX78" s="12">
        <v>37.1</v>
      </c>
      <c r="AY78" s="28">
        <f t="shared" si="53"/>
        <v>278.71954687499999</v>
      </c>
      <c r="AZ78" s="12">
        <v>5.4</v>
      </c>
      <c r="BA78" s="28">
        <f t="shared" si="54"/>
        <v>40.568343750000004</v>
      </c>
      <c r="BB78" s="12">
        <v>8.3000000000000007</v>
      </c>
      <c r="BC78" s="28">
        <f t="shared" si="55"/>
        <v>62.355046875000006</v>
      </c>
      <c r="BD78" s="12">
        <v>39.299999999999997</v>
      </c>
      <c r="BE78" s="28">
        <f t="shared" si="56"/>
        <v>295.24739062499998</v>
      </c>
      <c r="BF78" s="12">
        <v>0.14000000000000001</v>
      </c>
      <c r="BG78" s="28">
        <f t="shared" si="40"/>
        <v>3.8246250000000002</v>
      </c>
      <c r="BH78" s="12">
        <v>0.3</v>
      </c>
      <c r="BI78" s="28">
        <f t="shared" si="41"/>
        <v>8.1956249999999997</v>
      </c>
      <c r="BJ78" s="12">
        <v>3.1</v>
      </c>
      <c r="BK78" s="28">
        <f t="shared" si="42"/>
        <v>84.688124999999999</v>
      </c>
      <c r="BL78" s="12">
        <v>6.4</v>
      </c>
      <c r="BM78" s="12"/>
      <c r="BN78" s="28">
        <f t="shared" si="57"/>
        <v>120.63960000000002</v>
      </c>
      <c r="BO78" s="12">
        <v>41.7</v>
      </c>
      <c r="BP78" s="12">
        <v>24.5</v>
      </c>
      <c r="BQ78" s="12">
        <v>17.7</v>
      </c>
      <c r="BR78" s="12">
        <v>22.1</v>
      </c>
      <c r="BS78" s="12">
        <v>15.5</v>
      </c>
      <c r="BT78" s="12">
        <v>12.9</v>
      </c>
      <c r="BU78" s="12">
        <v>35.299999999999997</v>
      </c>
      <c r="BV78" s="28">
        <f t="shared" si="58"/>
        <v>6654027.9375</v>
      </c>
      <c r="BW78" s="12">
        <v>26.7</v>
      </c>
      <c r="BX78" s="12">
        <v>21.8</v>
      </c>
      <c r="BY78" s="28">
        <f t="shared" si="59"/>
        <v>1450578.0903749999</v>
      </c>
      <c r="BZ78" s="12">
        <v>39.9</v>
      </c>
      <c r="CA78" s="28">
        <f t="shared" si="60"/>
        <v>2654957.1470625</v>
      </c>
      <c r="CB78" s="12">
        <v>3.5</v>
      </c>
      <c r="CC78" s="28">
        <f t="shared" si="61"/>
        <v>232890.9778125</v>
      </c>
      <c r="CD78" s="12">
        <v>7.2</v>
      </c>
      <c r="CE78" s="28">
        <f t="shared" si="62"/>
        <v>479090.01149999996</v>
      </c>
      <c r="CF78" s="12">
        <v>0.89</v>
      </c>
      <c r="CG78" s="28">
        <f t="shared" si="63"/>
        <v>59220.848643749996</v>
      </c>
      <c r="CH78" s="12">
        <v>14.2</v>
      </c>
      <c r="CI78" s="28">
        <f t="shared" si="64"/>
        <v>267.66911249999998</v>
      </c>
      <c r="CJ78" s="12">
        <v>19.5</v>
      </c>
      <c r="CK78" s="12">
        <v>38.799999999999997</v>
      </c>
      <c r="CL78" s="28">
        <f t="shared" si="65"/>
        <v>1038556.1564999998</v>
      </c>
      <c r="CM78" s="12">
        <v>9.6</v>
      </c>
      <c r="CN78" s="28">
        <f t="shared" si="66"/>
        <v>25.696234799999999</v>
      </c>
      <c r="CO78" s="12">
        <v>32.1</v>
      </c>
      <c r="CP78" s="28">
        <f t="shared" si="67"/>
        <v>85.921785112500004</v>
      </c>
      <c r="CQ78" s="12">
        <v>8</v>
      </c>
      <c r="CR78" s="28">
        <f t="shared" si="68"/>
        <v>282</v>
      </c>
      <c r="CS78" s="12">
        <v>0.91</v>
      </c>
      <c r="CT78" s="28">
        <f t="shared" si="69"/>
        <v>32.077500000000001</v>
      </c>
      <c r="CU78" s="39">
        <v>45988</v>
      </c>
      <c r="CV78" s="4">
        <v>1</v>
      </c>
      <c r="CW78" s="4">
        <v>55</v>
      </c>
      <c r="CX78" s="4">
        <v>0</v>
      </c>
      <c r="CY78" s="4">
        <v>0</v>
      </c>
      <c r="CZ78" s="4" t="s">
        <v>263</v>
      </c>
      <c r="DA78" s="4">
        <v>0</v>
      </c>
      <c r="DB78" s="4" t="s">
        <v>405</v>
      </c>
      <c r="DC78" s="4">
        <v>0.1</v>
      </c>
      <c r="DD78" s="4">
        <v>1203</v>
      </c>
      <c r="DE78" s="4">
        <v>265</v>
      </c>
      <c r="DF78" s="4">
        <v>33</v>
      </c>
      <c r="DG78" s="4">
        <v>10778</v>
      </c>
      <c r="DH78" s="4">
        <v>0.112</v>
      </c>
      <c r="DI78" s="4">
        <v>0.22</v>
      </c>
      <c r="DJ78" s="4">
        <v>309</v>
      </c>
      <c r="DK78" s="4">
        <v>9.4499999999999993</v>
      </c>
      <c r="DL78" s="4" t="s">
        <v>95</v>
      </c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>
        <v>0</v>
      </c>
      <c r="DY78" s="4"/>
      <c r="DZ78" s="4"/>
      <c r="EA78" s="4"/>
      <c r="EB78" s="4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1</v>
      </c>
      <c r="EQ78" s="6">
        <v>0</v>
      </c>
      <c r="ER78" s="6">
        <v>0</v>
      </c>
      <c r="ES78" s="6">
        <v>0</v>
      </c>
      <c r="ET78" s="6">
        <v>0</v>
      </c>
      <c r="EU78" s="4"/>
      <c r="EV78" s="4"/>
      <c r="EW78" s="4"/>
      <c r="EX78" s="4"/>
    </row>
    <row r="79" spans="1:154" s="5" customFormat="1" ht="15.75" customHeight="1">
      <c r="A79" s="12">
        <v>22</v>
      </c>
      <c r="B79" s="12">
        <v>7039736</v>
      </c>
      <c r="C79" s="12" t="s">
        <v>216</v>
      </c>
      <c r="D79" s="12" t="s">
        <v>217</v>
      </c>
      <c r="E79" s="12">
        <v>3332429</v>
      </c>
      <c r="F79" s="12">
        <v>6943510</v>
      </c>
      <c r="G79" s="12">
        <v>4.91</v>
      </c>
      <c r="H79" s="12">
        <v>46.3</v>
      </c>
      <c r="I79" s="12">
        <v>15.4</v>
      </c>
      <c r="J79" s="12">
        <v>193</v>
      </c>
      <c r="K79" s="12">
        <v>4.22</v>
      </c>
      <c r="L79" s="12">
        <v>54.68</v>
      </c>
      <c r="M79" s="12">
        <v>0.87</v>
      </c>
      <c r="N79" s="12">
        <v>11.2</v>
      </c>
      <c r="O79" s="12">
        <v>0.33</v>
      </c>
      <c r="P79" s="12">
        <v>4.24</v>
      </c>
      <c r="Q79" s="12">
        <v>0.09</v>
      </c>
      <c r="R79" s="12">
        <v>1.2</v>
      </c>
      <c r="S79" s="12">
        <v>2.2200000000000002</v>
      </c>
      <c r="T79" s="12">
        <v>28.68</v>
      </c>
      <c r="U79" s="12">
        <v>2635</v>
      </c>
      <c r="V79" s="12">
        <v>7.3</v>
      </c>
      <c r="W79" s="28">
        <f t="shared" si="36"/>
        <v>192.35499999999999</v>
      </c>
      <c r="X79" s="12">
        <v>17.8</v>
      </c>
      <c r="Y79" s="28">
        <f t="shared" si="43"/>
        <v>469.03</v>
      </c>
      <c r="Z79" s="12">
        <v>79.900000000000006</v>
      </c>
      <c r="AA79" s="28">
        <f t="shared" si="44"/>
        <v>2105.3650000000002</v>
      </c>
      <c r="AB79" s="12">
        <v>5.7</v>
      </c>
      <c r="AC79" s="28">
        <f t="shared" si="45"/>
        <v>150.19499999999999</v>
      </c>
      <c r="AD79" s="12">
        <v>74.2</v>
      </c>
      <c r="AE79" s="29">
        <f t="shared" si="46"/>
        <v>1955.17</v>
      </c>
      <c r="AF79" s="30"/>
      <c r="AG79" s="30"/>
      <c r="AH79" s="12">
        <v>70.5</v>
      </c>
      <c r="AI79" s="28">
        <f t="shared" si="37"/>
        <v>1857.675</v>
      </c>
      <c r="AJ79" s="12">
        <v>51.8</v>
      </c>
      <c r="AK79" s="28">
        <f t="shared" si="38"/>
        <v>962.27564999999993</v>
      </c>
      <c r="AL79" s="12">
        <v>6.2</v>
      </c>
      <c r="AM79" s="28">
        <f t="shared" si="48"/>
        <v>59.661090299999998</v>
      </c>
      <c r="AN79" s="12">
        <v>51.5</v>
      </c>
      <c r="AO79" s="28">
        <f t="shared" si="49"/>
        <v>495.57195974999996</v>
      </c>
      <c r="AP79" s="12">
        <v>36.5</v>
      </c>
      <c r="AQ79" s="28">
        <f t="shared" si="50"/>
        <v>351.23061224999998</v>
      </c>
      <c r="AR79" s="12">
        <v>5.2</v>
      </c>
      <c r="AS79" s="28">
        <f t="shared" si="51"/>
        <v>50.038333800000004</v>
      </c>
      <c r="AT79" s="12">
        <v>35.1</v>
      </c>
      <c r="AU79" s="28">
        <f t="shared" si="39"/>
        <v>652.04392500000006</v>
      </c>
      <c r="AV79" s="12">
        <v>6.2</v>
      </c>
      <c r="AW79" s="28">
        <f t="shared" si="52"/>
        <v>40.426723350000003</v>
      </c>
      <c r="AX79" s="12">
        <v>43.3</v>
      </c>
      <c r="AY79" s="28">
        <f t="shared" si="53"/>
        <v>282.33501952500001</v>
      </c>
      <c r="AZ79" s="12">
        <v>5.4</v>
      </c>
      <c r="BA79" s="28">
        <f t="shared" si="54"/>
        <v>35.210371950000003</v>
      </c>
      <c r="BB79" s="12">
        <v>7.7</v>
      </c>
      <c r="BC79" s="28">
        <f t="shared" si="55"/>
        <v>50.207382225000003</v>
      </c>
      <c r="BD79" s="12">
        <v>37.200000000000003</v>
      </c>
      <c r="BE79" s="28">
        <f t="shared" si="56"/>
        <v>242.56034010000002</v>
      </c>
      <c r="BF79" s="12">
        <v>0.18</v>
      </c>
      <c r="BG79" s="28">
        <f t="shared" si="40"/>
        <v>3.3438149999999998</v>
      </c>
      <c r="BH79" s="12">
        <v>0.54</v>
      </c>
      <c r="BI79" s="28">
        <f t="shared" si="41"/>
        <v>10.031445</v>
      </c>
      <c r="BJ79" s="12">
        <v>12.4</v>
      </c>
      <c r="BK79" s="28">
        <f t="shared" si="42"/>
        <v>230.35170000000002</v>
      </c>
      <c r="BL79" s="12">
        <v>8.9</v>
      </c>
      <c r="BM79" s="12"/>
      <c r="BN79" s="28">
        <f t="shared" si="57"/>
        <v>85.642532849999995</v>
      </c>
      <c r="BO79" s="12">
        <v>63.2</v>
      </c>
      <c r="BP79" s="12">
        <v>19</v>
      </c>
      <c r="BQ79" s="12">
        <v>8.4</v>
      </c>
      <c r="BR79" s="12">
        <v>34.6</v>
      </c>
      <c r="BS79" s="12">
        <v>14.3</v>
      </c>
      <c r="BT79" s="12">
        <v>13.4</v>
      </c>
      <c r="BU79" s="12">
        <v>57.8</v>
      </c>
      <c r="BV79" s="28">
        <f t="shared" si="58"/>
        <v>5561953.2569999993</v>
      </c>
      <c r="BW79" s="12">
        <v>20.399999999999999</v>
      </c>
      <c r="BX79" s="12">
        <v>16.7</v>
      </c>
      <c r="BY79" s="28">
        <f t="shared" si="59"/>
        <v>928846.19391899987</v>
      </c>
      <c r="BZ79" s="12">
        <v>40.1</v>
      </c>
      <c r="CA79" s="28">
        <f t="shared" si="60"/>
        <v>2230343.2560569998</v>
      </c>
      <c r="CB79" s="12">
        <v>8</v>
      </c>
      <c r="CC79" s="28">
        <f t="shared" si="61"/>
        <v>444956.26055999997</v>
      </c>
      <c r="CD79" s="12">
        <v>11.3</v>
      </c>
      <c r="CE79" s="28">
        <f t="shared" si="62"/>
        <v>628500.71804099996</v>
      </c>
      <c r="CF79" s="12">
        <v>3.5</v>
      </c>
      <c r="CG79" s="28">
        <f t="shared" si="63"/>
        <v>194668.36399499996</v>
      </c>
      <c r="CH79" s="12">
        <v>12.8</v>
      </c>
      <c r="CI79" s="28">
        <f t="shared" si="64"/>
        <v>123.1712832</v>
      </c>
      <c r="CJ79" s="12">
        <v>13.2</v>
      </c>
      <c r="CK79" s="12">
        <v>37.200000000000003</v>
      </c>
      <c r="CL79" s="28">
        <f t="shared" si="65"/>
        <v>458197.17350400006</v>
      </c>
      <c r="CM79" s="12">
        <v>9.9</v>
      </c>
      <c r="CN79" s="28">
        <f t="shared" si="66"/>
        <v>12.193957036800001</v>
      </c>
      <c r="CO79" s="12">
        <v>39.700000000000003</v>
      </c>
      <c r="CP79" s="28">
        <f t="shared" si="67"/>
        <v>48.898999430400011</v>
      </c>
      <c r="CQ79" s="12">
        <v>13.5</v>
      </c>
      <c r="CR79" s="28">
        <f t="shared" si="68"/>
        <v>355.72500000000002</v>
      </c>
      <c r="CS79" s="12">
        <v>0</v>
      </c>
      <c r="CT79" s="28">
        <f t="shared" si="69"/>
        <v>0</v>
      </c>
      <c r="CU79" s="34">
        <v>45855</v>
      </c>
      <c r="CV79" s="35">
        <v>0</v>
      </c>
      <c r="CW79" s="35">
        <v>70</v>
      </c>
      <c r="CX79" s="35">
        <v>3</v>
      </c>
      <c r="CY79" s="35">
        <v>2</v>
      </c>
      <c r="CZ79" s="35" t="s">
        <v>283</v>
      </c>
      <c r="DA79" s="35">
        <v>0</v>
      </c>
      <c r="DB79" s="35" t="s">
        <v>406</v>
      </c>
      <c r="DC79" s="35">
        <v>0.11</v>
      </c>
      <c r="DD79" s="35">
        <v>709</v>
      </c>
      <c r="DE79" s="35">
        <v>183</v>
      </c>
      <c r="DF79" s="35">
        <v>22</v>
      </c>
      <c r="DG79" s="35">
        <v>6324</v>
      </c>
      <c r="DH79" s="35">
        <v>0.112</v>
      </c>
      <c r="DI79" s="35">
        <v>0.26</v>
      </c>
      <c r="DJ79" s="35">
        <v>877</v>
      </c>
      <c r="DK79" s="35">
        <v>22.73</v>
      </c>
      <c r="DL79" s="35" t="s">
        <v>95</v>
      </c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>
        <v>0</v>
      </c>
      <c r="DY79" s="35"/>
      <c r="DZ79" s="35"/>
      <c r="EA79" s="35"/>
      <c r="EB79" s="35">
        <v>0</v>
      </c>
      <c r="EC79" s="7">
        <v>0</v>
      </c>
      <c r="ED79" s="7">
        <v>1</v>
      </c>
      <c r="EE79" s="7">
        <v>0</v>
      </c>
      <c r="EF79" s="7">
        <v>0</v>
      </c>
      <c r="EG79" s="6">
        <v>0</v>
      </c>
      <c r="EH79" s="6">
        <v>1</v>
      </c>
      <c r="EI79" s="6">
        <v>0</v>
      </c>
      <c r="EJ79" s="6">
        <v>0</v>
      </c>
      <c r="EK79" s="6">
        <v>1</v>
      </c>
      <c r="EL79" s="6">
        <v>0</v>
      </c>
      <c r="EM79" s="7">
        <v>0</v>
      </c>
      <c r="EN79" s="7">
        <v>1</v>
      </c>
      <c r="EO79" s="7">
        <v>1</v>
      </c>
      <c r="EP79" s="7">
        <v>1</v>
      </c>
      <c r="EQ79" s="7">
        <v>0</v>
      </c>
      <c r="ER79" s="7">
        <v>0</v>
      </c>
      <c r="ES79" s="7">
        <v>0</v>
      </c>
      <c r="ET79" s="7">
        <v>0</v>
      </c>
      <c r="EU79" s="35"/>
      <c r="EV79" s="4"/>
      <c r="EW79" s="4"/>
      <c r="EX79" s="4"/>
    </row>
    <row r="80" spans="1:154" s="5" customFormat="1" ht="15.75" customHeight="1">
      <c r="A80" s="12">
        <v>81</v>
      </c>
      <c r="B80" s="12">
        <v>7042614</v>
      </c>
      <c r="C80" s="12" t="s">
        <v>218</v>
      </c>
      <c r="D80" s="12" t="s">
        <v>219</v>
      </c>
      <c r="E80" s="12">
        <v>2406661</v>
      </c>
      <c r="F80" s="12">
        <v>7192618</v>
      </c>
      <c r="G80" s="12">
        <v>4.6900000000000004</v>
      </c>
      <c r="H80" s="12">
        <v>41</v>
      </c>
      <c r="I80" s="12">
        <v>13.1</v>
      </c>
      <c r="J80" s="12">
        <v>209</v>
      </c>
      <c r="K80" s="12">
        <v>2.4900000000000002</v>
      </c>
      <c r="L80" s="12">
        <v>39.92</v>
      </c>
      <c r="M80" s="12">
        <v>0.83</v>
      </c>
      <c r="N80" s="12">
        <v>13.3</v>
      </c>
      <c r="O80" s="12">
        <v>0.64</v>
      </c>
      <c r="P80" s="12">
        <v>10.29</v>
      </c>
      <c r="Q80" s="12">
        <v>0.05</v>
      </c>
      <c r="R80" s="12">
        <v>0.84</v>
      </c>
      <c r="S80" s="12">
        <v>2.23</v>
      </c>
      <c r="T80" s="12">
        <v>35.65</v>
      </c>
      <c r="U80" s="12">
        <v>2643</v>
      </c>
      <c r="V80" s="12">
        <v>4.4000000000000004</v>
      </c>
      <c r="W80" s="28">
        <f t="shared" si="36"/>
        <v>116.292</v>
      </c>
      <c r="X80" s="12">
        <v>48.8</v>
      </c>
      <c r="Y80" s="28">
        <f t="shared" si="43"/>
        <v>1289.7839999999999</v>
      </c>
      <c r="Z80" s="12">
        <v>44.2</v>
      </c>
      <c r="AA80" s="28">
        <f t="shared" si="44"/>
        <v>1168.2060000000001</v>
      </c>
      <c r="AB80" s="12">
        <v>17.100000000000001</v>
      </c>
      <c r="AC80" s="28">
        <f t="shared" si="45"/>
        <v>451.95300000000003</v>
      </c>
      <c r="AD80" s="12">
        <v>26.3</v>
      </c>
      <c r="AE80" s="29">
        <f t="shared" si="46"/>
        <v>695.10900000000004</v>
      </c>
      <c r="AF80" s="30">
        <v>0.8</v>
      </c>
      <c r="AG80" s="29">
        <f t="shared" si="47"/>
        <v>21.144000000000002</v>
      </c>
      <c r="AH80" s="12">
        <v>78.900000000000006</v>
      </c>
      <c r="AI80" s="28">
        <f t="shared" si="37"/>
        <v>2085.3270000000002</v>
      </c>
      <c r="AJ80" s="12">
        <v>69.400000000000006</v>
      </c>
      <c r="AK80" s="28">
        <f t="shared" si="38"/>
        <v>1447.2169380000005</v>
      </c>
      <c r="AL80" s="12">
        <v>1.2</v>
      </c>
      <c r="AM80" s="28">
        <f t="shared" si="48"/>
        <v>17.366603256000005</v>
      </c>
      <c r="AN80" s="12">
        <v>13.5</v>
      </c>
      <c r="AO80" s="28">
        <f t="shared" si="49"/>
        <v>195.37428663000006</v>
      </c>
      <c r="AP80" s="12">
        <v>82.8</v>
      </c>
      <c r="AQ80" s="28">
        <f t="shared" si="50"/>
        <v>1198.2956246640003</v>
      </c>
      <c r="AR80" s="12">
        <v>2.4</v>
      </c>
      <c r="AS80" s="28">
        <f t="shared" si="51"/>
        <v>34.73320651200001</v>
      </c>
      <c r="AT80" s="12">
        <v>15.4</v>
      </c>
      <c r="AU80" s="28">
        <f t="shared" si="39"/>
        <v>321.14035800000005</v>
      </c>
      <c r="AV80" s="12">
        <v>1.9</v>
      </c>
      <c r="AW80" s="28">
        <f t="shared" si="52"/>
        <v>6.1016668020000004</v>
      </c>
      <c r="AX80" s="12">
        <v>21.7</v>
      </c>
      <c r="AY80" s="28">
        <f t="shared" si="53"/>
        <v>69.687457686000002</v>
      </c>
      <c r="AZ80" s="12">
        <v>5.0999999999999996</v>
      </c>
      <c r="BA80" s="28">
        <f t="shared" si="54"/>
        <v>16.378158257999999</v>
      </c>
      <c r="BB80" s="12">
        <v>2.7</v>
      </c>
      <c r="BC80" s="28">
        <f t="shared" si="55"/>
        <v>8.670789666000001</v>
      </c>
      <c r="BD80" s="12">
        <v>68.3</v>
      </c>
      <c r="BE80" s="28">
        <f t="shared" si="56"/>
        <v>219.33886451400002</v>
      </c>
      <c r="BF80" s="12">
        <v>2.1999999999999999E-2</v>
      </c>
      <c r="BG80" s="28">
        <f t="shared" si="40"/>
        <v>0.45877194000000004</v>
      </c>
      <c r="BH80" s="12">
        <v>0.11</v>
      </c>
      <c r="BI80" s="28">
        <f t="shared" si="41"/>
        <v>2.2938597000000001</v>
      </c>
      <c r="BJ80" s="12">
        <v>15.1</v>
      </c>
      <c r="BK80" s="28">
        <f t="shared" si="42"/>
        <v>314.88437700000003</v>
      </c>
      <c r="BL80" s="12"/>
      <c r="BM80" s="12"/>
      <c r="BN80" s="28"/>
      <c r="BO80" s="12"/>
      <c r="BP80" s="12"/>
      <c r="BQ80" s="12"/>
      <c r="BR80" s="12"/>
      <c r="BS80" s="12"/>
      <c r="BT80" s="12"/>
      <c r="BU80" s="12"/>
      <c r="BV80" s="28"/>
      <c r="BW80" s="12"/>
      <c r="BX80" s="12"/>
      <c r="BY80" s="28"/>
      <c r="BZ80" s="12"/>
      <c r="CA80" s="28"/>
      <c r="CB80" s="12"/>
      <c r="CC80" s="28"/>
      <c r="CD80" s="12"/>
      <c r="CE80" s="28"/>
      <c r="CF80" s="12"/>
      <c r="CG80" s="28"/>
      <c r="CH80" s="12"/>
      <c r="CI80" s="12"/>
      <c r="CJ80" s="12"/>
      <c r="CK80" s="12"/>
      <c r="CL80" s="12"/>
      <c r="CM80" s="12"/>
      <c r="CN80" s="12"/>
      <c r="CO80" s="12"/>
      <c r="CP80" s="12"/>
      <c r="CQ80" s="12">
        <v>13.3</v>
      </c>
      <c r="CR80" s="28">
        <f t="shared" si="68"/>
        <v>351.51900000000001</v>
      </c>
      <c r="CS80" s="12">
        <v>0.16</v>
      </c>
      <c r="CT80" s="28">
        <f t="shared" si="69"/>
        <v>4.2287999999999997</v>
      </c>
      <c r="CU80" s="27">
        <v>46009</v>
      </c>
      <c r="CV80" s="11">
        <v>0</v>
      </c>
      <c r="CW80" s="11">
        <v>76</v>
      </c>
      <c r="CX80" s="11">
        <v>2</v>
      </c>
      <c r="CY80" s="11">
        <v>1</v>
      </c>
      <c r="CZ80" s="11" t="s">
        <v>93</v>
      </c>
      <c r="DA80" s="11">
        <v>1</v>
      </c>
      <c r="DB80" s="11" t="s">
        <v>302</v>
      </c>
      <c r="DC80" s="11">
        <v>0.25</v>
      </c>
      <c r="DD80" s="11">
        <v>411</v>
      </c>
      <c r="DE80" s="11">
        <v>188</v>
      </c>
      <c r="DF80" s="11">
        <v>32</v>
      </c>
      <c r="DG80" s="11">
        <v>9515</v>
      </c>
      <c r="DH80" s="11">
        <v>4.2999999999999997E-2</v>
      </c>
      <c r="DI80" s="11">
        <v>0.46</v>
      </c>
      <c r="DJ80" s="11">
        <v>478</v>
      </c>
      <c r="DK80" s="11">
        <v>15.04</v>
      </c>
      <c r="DL80" s="11" t="s">
        <v>95</v>
      </c>
      <c r="DM80" s="11">
        <v>24</v>
      </c>
      <c r="DN80" s="11">
        <v>1.5</v>
      </c>
      <c r="DO80" s="11">
        <v>0.5</v>
      </c>
      <c r="DP80" s="11">
        <v>1</v>
      </c>
      <c r="DQ80" s="11">
        <v>0.5</v>
      </c>
      <c r="DR80" s="11">
        <v>0.5</v>
      </c>
      <c r="DS80" s="11">
        <v>0.5</v>
      </c>
      <c r="DT80" s="11">
        <v>0</v>
      </c>
      <c r="DU80" s="11">
        <v>0</v>
      </c>
      <c r="DV80" s="11">
        <v>425</v>
      </c>
      <c r="DW80" s="11">
        <v>80</v>
      </c>
      <c r="DX80" s="11">
        <v>1</v>
      </c>
      <c r="DY80" s="11"/>
      <c r="DZ80" s="11"/>
      <c r="EA80" s="11"/>
      <c r="EB80" s="11">
        <v>0</v>
      </c>
      <c r="EC80" s="6">
        <v>1</v>
      </c>
      <c r="ED80" s="6">
        <v>1</v>
      </c>
      <c r="EE80" s="6">
        <v>0</v>
      </c>
      <c r="EF80" s="6">
        <v>0</v>
      </c>
      <c r="EG80" s="6">
        <v>0</v>
      </c>
      <c r="EH80" s="6">
        <v>1</v>
      </c>
      <c r="EI80" s="6">
        <v>0</v>
      </c>
      <c r="EJ80" s="6">
        <v>0</v>
      </c>
      <c r="EK80" s="6">
        <v>2</v>
      </c>
      <c r="EL80" s="6">
        <v>1</v>
      </c>
      <c r="EM80" s="6">
        <v>0</v>
      </c>
      <c r="EN80" s="6">
        <v>2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1</v>
      </c>
      <c r="EU80" s="9" t="s">
        <v>327</v>
      </c>
      <c r="EV80" s="4"/>
      <c r="EW80" s="4"/>
      <c r="EX80" s="4"/>
    </row>
    <row r="81" spans="1:154" s="5" customFormat="1" ht="15.75" customHeight="1"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</row>
    <row r="82" spans="1:154" s="5" customFormat="1" ht="15.75" customHeight="1">
      <c r="A82" s="3">
        <v>1</v>
      </c>
      <c r="B82" s="41" t="s">
        <v>238</v>
      </c>
      <c r="C82" s="17"/>
      <c r="D82" s="17"/>
      <c r="E82" s="17"/>
      <c r="F82" s="17"/>
      <c r="CU82" s="4"/>
      <c r="CV82" s="4"/>
      <c r="CW82" s="4"/>
      <c r="CX82" s="4"/>
      <c r="CY82" s="4"/>
      <c r="CZ82" s="42"/>
      <c r="DA82" s="42"/>
      <c r="DB82" s="42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</row>
    <row r="83" spans="1:154" s="5" customFormat="1" ht="15.75" customHeight="1">
      <c r="B83" s="17"/>
      <c r="C83" s="17"/>
      <c r="D83" s="17"/>
      <c r="E83" s="18"/>
      <c r="F83" s="18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P83" s="4"/>
      <c r="EQ83" s="4"/>
      <c r="ER83" s="4"/>
      <c r="ES83" s="4"/>
      <c r="ET83" s="4"/>
      <c r="EU83" s="4"/>
      <c r="EV83" s="4"/>
      <c r="EW83" s="4"/>
      <c r="EX83" s="4"/>
    </row>
    <row r="84" spans="1:154">
      <c r="B84" s="43"/>
      <c r="C84" s="43"/>
      <c r="D84" s="43"/>
      <c r="E84" s="19"/>
      <c r="F84" s="19"/>
    </row>
    <row r="85" spans="1:154">
      <c r="B85" s="43"/>
      <c r="C85" s="43"/>
      <c r="D85" s="43"/>
      <c r="E85" s="19"/>
      <c r="F85" s="19"/>
    </row>
    <row r="86" spans="1:154">
      <c r="B86" s="43"/>
      <c r="C86" s="43"/>
      <c r="D86" s="43"/>
      <c r="E86" s="19"/>
      <c r="F86" s="19"/>
    </row>
    <row r="87" spans="1:154">
      <c r="B87" s="43"/>
      <c r="C87" s="43"/>
      <c r="D87" s="43"/>
      <c r="E87" s="19"/>
      <c r="F87" s="19"/>
    </row>
    <row r="88" spans="1:154">
      <c r="B88" s="43"/>
      <c r="C88" s="43"/>
      <c r="D88" s="43"/>
      <c r="E88" s="19"/>
      <c r="F88" s="19"/>
    </row>
    <row r="89" spans="1:154">
      <c r="B89" s="43"/>
      <c r="C89" s="43"/>
      <c r="D89" s="43"/>
      <c r="E89" s="19"/>
      <c r="F89" s="19"/>
    </row>
    <row r="90" spans="1:154">
      <c r="B90" s="43"/>
      <c r="C90" s="43"/>
      <c r="D90" s="43"/>
      <c r="E90" s="19"/>
      <c r="F90" s="19"/>
    </row>
    <row r="91" spans="1:154">
      <c r="B91" s="43"/>
      <c r="C91" s="43"/>
      <c r="D91" s="43"/>
      <c r="E91" s="19"/>
      <c r="F91" s="19"/>
    </row>
    <row r="92" spans="1:154">
      <c r="B92" s="43"/>
      <c r="C92" s="43"/>
      <c r="D92" s="43"/>
      <c r="E92" s="19"/>
      <c r="F92" s="19"/>
    </row>
  </sheetData>
  <sortState xmlns:xlrd2="http://schemas.microsoft.com/office/spreadsheetml/2017/richdata2" ref="A1:BL80">
    <sortCondition ref="F1:F8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Alzheimer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Garcia-Bustos</dc:creator>
  <cp:lastModifiedBy>Marc</cp:lastModifiedBy>
  <dcterms:created xsi:type="dcterms:W3CDTF">2015-06-05T18:17:20Z</dcterms:created>
  <dcterms:modified xsi:type="dcterms:W3CDTF">2026-06-18T07:59:32Z</dcterms:modified>
</cp:coreProperties>
</file>